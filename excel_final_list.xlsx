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250 Stocks" sheetId="1" r:id="rId5"/>
    <sheet state="visible" name="Final List" sheetId="2" r:id="rId6"/>
  </sheets>
  <definedNames/>
  <calcPr/>
</workbook>
</file>

<file path=xl/sharedStrings.xml><?xml version="1.0" encoding="utf-8"?>
<sst xmlns="http://schemas.openxmlformats.org/spreadsheetml/2006/main" count="268" uniqueCount="263">
  <si>
    <t>NSE Code</t>
  </si>
  <si>
    <t>Stocks in Bull Run</t>
  </si>
  <si>
    <t>Volume</t>
  </si>
  <si>
    <t>Close Price</t>
  </si>
  <si>
    <t>CMP</t>
  </si>
  <si>
    <t>50 DMA</t>
  </si>
  <si>
    <t>100 DMA</t>
  </si>
  <si>
    <t>200 DMA</t>
  </si>
  <si>
    <t>OutPut</t>
  </si>
  <si>
    <t>Difference from 200 DMA</t>
  </si>
  <si>
    <t>CAR</t>
  </si>
  <si>
    <t>BHARTIARTL</t>
  </si>
  <si>
    <t>Privious Close</t>
  </si>
  <si>
    <t>Data Date: 14-Aug-2026 | Last Update: 14-Aug 20:58 (IST)</t>
  </si>
  <si>
    <t>LGEINDIA</t>
  </si>
  <si>
    <t>HDFCBANK</t>
  </si>
  <si>
    <t>LEAPIND</t>
  </si>
  <si>
    <t>RELIANCE</t>
  </si>
  <si>
    <t>MANORAMA</t>
  </si>
  <si>
    <t>WELSPUNLIV</t>
  </si>
  <si>
    <t>BDL</t>
  </si>
  <si>
    <t>ZEEL</t>
  </si>
  <si>
    <t>ADANIENSOL</t>
  </si>
  <si>
    <t>APOLLOHOSP</t>
  </si>
  <si>
    <t>HONASA</t>
  </si>
  <si>
    <t>IDEA</t>
  </si>
  <si>
    <t>TMPV</t>
  </si>
  <si>
    <t>BSE</t>
  </si>
  <si>
    <t>SOLARINDS</t>
  </si>
  <si>
    <t>ETERNAL</t>
  </si>
  <si>
    <t>TECHNOCRAF</t>
  </si>
  <si>
    <t>NETWEB</t>
  </si>
  <si>
    <t>ICICIBANK</t>
  </si>
  <si>
    <t>HAL</t>
  </si>
  <si>
    <t>CUPID</t>
  </si>
  <si>
    <t>ASHOKLEY</t>
  </si>
  <si>
    <t>INFY</t>
  </si>
  <si>
    <t>AXISBANK</t>
  </si>
  <si>
    <t>SBIN</t>
  </si>
  <si>
    <t>MOTISONS</t>
  </si>
  <si>
    <t>MARKSANS</t>
  </si>
  <si>
    <t>JUBLFOOD</t>
  </si>
  <si>
    <t>LICI</t>
  </si>
  <si>
    <t>MFSL</t>
  </si>
  <si>
    <t>NATIONALUM</t>
  </si>
  <si>
    <t>TECHM</t>
  </si>
  <si>
    <t>AMBER</t>
  </si>
  <si>
    <t>TCS</t>
  </si>
  <si>
    <t>PAYTM</t>
  </si>
  <si>
    <t>ADANIENT</t>
  </si>
  <si>
    <t>LENSKART</t>
  </si>
  <si>
    <t>TRENT</t>
  </si>
  <si>
    <t>TMCV</t>
  </si>
  <si>
    <t>RATNAVEER</t>
  </si>
  <si>
    <t>BHEL</t>
  </si>
  <si>
    <t>SAIL</t>
  </si>
  <si>
    <t>BAJFINANCE</t>
  </si>
  <si>
    <t>HINDCOPPER</t>
  </si>
  <si>
    <t>PAGEIND</t>
  </si>
  <si>
    <t>BALUFORGE</t>
  </si>
  <si>
    <t>KALYANKJIL</t>
  </si>
  <si>
    <t>MCX</t>
  </si>
  <si>
    <t>JIOFIN</t>
  </si>
  <si>
    <t>MAXHEALTH</t>
  </si>
  <si>
    <t>POWERINDIA</t>
  </si>
  <si>
    <t>SUDARSCHEM</t>
  </si>
  <si>
    <t>APEX</t>
  </si>
  <si>
    <t>PARAS</t>
  </si>
  <si>
    <t>HDFCAMC</t>
  </si>
  <si>
    <t>LT</t>
  </si>
  <si>
    <t>HFCL</t>
  </si>
  <si>
    <t>KOTAKBANK</t>
  </si>
  <si>
    <t>ELGIEQUIP</t>
  </si>
  <si>
    <t>MINDACORP</t>
  </si>
  <si>
    <t>SAMMAANCAP</t>
  </si>
  <si>
    <t>HINDALCO</t>
  </si>
  <si>
    <t>M&amp;M</t>
  </si>
  <si>
    <t>PERSISTENT</t>
  </si>
  <si>
    <t>TARSONS</t>
  </si>
  <si>
    <t>ATHERENERG</t>
  </si>
  <si>
    <t>GVT&amp;D</t>
  </si>
  <si>
    <t>ALKEM</t>
  </si>
  <si>
    <t>ADANIPORTS</t>
  </si>
  <si>
    <t>MOREPENLAB</t>
  </si>
  <si>
    <t>UNIONBANK</t>
  </si>
  <si>
    <t>TVSSRICHAK</t>
  </si>
  <si>
    <t>TATAPOWER</t>
  </si>
  <si>
    <t>VOLTAS</t>
  </si>
  <si>
    <t>BEL</t>
  </si>
  <si>
    <t>OFSS</t>
  </si>
  <si>
    <t>MARUTI</t>
  </si>
  <si>
    <t>HINDPETRO</t>
  </si>
  <si>
    <t>TITAN</t>
  </si>
  <si>
    <t>APARINDS</t>
  </si>
  <si>
    <t>HEROMOTOCO</t>
  </si>
  <si>
    <t>TATASTEEL</t>
  </si>
  <si>
    <t>DIXON</t>
  </si>
  <si>
    <t>MUNJALAU</t>
  </si>
  <si>
    <t>DIVISLAB</t>
  </si>
  <si>
    <t>ONGC</t>
  </si>
  <si>
    <t>LAURUSLABS</t>
  </si>
  <si>
    <t>COFORGE</t>
  </si>
  <si>
    <t>ADANIPOWER</t>
  </si>
  <si>
    <t>VEDL</t>
  </si>
  <si>
    <t>MAZDOCK</t>
  </si>
  <si>
    <t>BAJAJ-AUTO</t>
  </si>
  <si>
    <t>INDIGOPNTS</t>
  </si>
  <si>
    <t>HAPPSTMNDS</t>
  </si>
  <si>
    <t>SHRIRAMFIN</t>
  </si>
  <si>
    <t>SANSERA</t>
  </si>
  <si>
    <t>KERNEX</t>
  </si>
  <si>
    <t>HSCL</t>
  </si>
  <si>
    <t>HINDZINC</t>
  </si>
  <si>
    <t>HEG</t>
  </si>
  <si>
    <t>DRREDDY</t>
  </si>
  <si>
    <t>BPCL</t>
  </si>
  <si>
    <t>NTPC</t>
  </si>
  <si>
    <t>KAYNES</t>
  </si>
  <si>
    <t>RECLTD</t>
  </si>
  <si>
    <t>VAML</t>
  </si>
  <si>
    <t>TVSMOTOR</t>
  </si>
  <si>
    <t>EICHERMOT</t>
  </si>
  <si>
    <t>HINDUNILVR</t>
  </si>
  <si>
    <t>PPLPHARMA</t>
  </si>
  <si>
    <t>GLAND</t>
  </si>
  <si>
    <t>ULTRACEMCO</t>
  </si>
  <si>
    <t>FLUOROCHEM</t>
  </si>
  <si>
    <t>INDUSTOWER</t>
  </si>
  <si>
    <t>TASTYBITE</t>
  </si>
  <si>
    <t>NATCOPHARM</t>
  </si>
  <si>
    <t>NESTLEIND</t>
  </si>
  <si>
    <t>GROWW</t>
  </si>
  <si>
    <t>SWIGGY</t>
  </si>
  <si>
    <t>CUMMINSIND</t>
  </si>
  <si>
    <t>TI</t>
  </si>
  <si>
    <t>PFC</t>
  </si>
  <si>
    <t>TIIL</t>
  </si>
  <si>
    <t>APOLLO</t>
  </si>
  <si>
    <t>PRAJIND</t>
  </si>
  <si>
    <t>AMAGI</t>
  </si>
  <si>
    <t>BLUESTONE</t>
  </si>
  <si>
    <t>COALINDIA</t>
  </si>
  <si>
    <t>ITC</t>
  </si>
  <si>
    <t>DATAPATTNS</t>
  </si>
  <si>
    <t>NEULANDLAB</t>
  </si>
  <si>
    <t>BANKBARODA</t>
  </si>
  <si>
    <t>GODREJCP</t>
  </si>
  <si>
    <t>BAJAJFINSV</t>
  </si>
  <si>
    <t>MIDHANI</t>
  </si>
  <si>
    <t>OMAXE</t>
  </si>
  <si>
    <t>ASIANPAINT</t>
  </si>
  <si>
    <t>ENGINERSIN</t>
  </si>
  <si>
    <t>POWERGRID</t>
  </si>
  <si>
    <t>MOTHERSON</t>
  </si>
  <si>
    <t>SUNPHARMA</t>
  </si>
  <si>
    <t>AZAD</t>
  </si>
  <si>
    <t>DREDGECORP</t>
  </si>
  <si>
    <t>BHARATFORG</t>
  </si>
  <si>
    <t>BIOCON</t>
  </si>
  <si>
    <t>KRBL</t>
  </si>
  <si>
    <t>BATAINDIA</t>
  </si>
  <si>
    <t>FINCABLES</t>
  </si>
  <si>
    <t>GALAXYSURF</t>
  </si>
  <si>
    <t>BOSCHLTD</t>
  </si>
  <si>
    <t>NMDC</t>
  </si>
  <si>
    <t>GRASIM</t>
  </si>
  <si>
    <t>DEVYANI</t>
  </si>
  <si>
    <t>COCHINSHIP</t>
  </si>
  <si>
    <t>TIINDIA</t>
  </si>
  <si>
    <t>MUTHOOTFIN</t>
  </si>
  <si>
    <t>GLENMARK</t>
  </si>
  <si>
    <t>ADANIGREEN</t>
  </si>
  <si>
    <t>DMART</t>
  </si>
  <si>
    <t>RADICO</t>
  </si>
  <si>
    <t>LODHA</t>
  </si>
  <si>
    <t>CONCOR</t>
  </si>
  <si>
    <t>NAUKRI</t>
  </si>
  <si>
    <t>HCLTECH</t>
  </si>
  <si>
    <t>FORTIS</t>
  </si>
  <si>
    <t>INDOMIM</t>
  </si>
  <si>
    <t>ASTRAL</t>
  </si>
  <si>
    <t>HYUNDAI</t>
  </si>
  <si>
    <t>URBANCO</t>
  </si>
  <si>
    <t>BRITANNIA</t>
  </si>
  <si>
    <t>POONAWALLA</t>
  </si>
  <si>
    <t>CGPOWER</t>
  </si>
  <si>
    <t>WIPRO</t>
  </si>
  <si>
    <t>AARTIIND</t>
  </si>
  <si>
    <t>AUROPHARMA</t>
  </si>
  <si>
    <t>ARDEE</t>
  </si>
  <si>
    <t>BELRISE</t>
  </si>
  <si>
    <t>SUPRIYA</t>
  </si>
  <si>
    <t>PNB</t>
  </si>
  <si>
    <t>LUPIN</t>
  </si>
  <si>
    <t>CANBK</t>
  </si>
  <si>
    <t>PETRONET</t>
  </si>
  <si>
    <t>MEESHO</t>
  </si>
  <si>
    <t>POLICYBZR</t>
  </si>
  <si>
    <t>MANAPPURAM</t>
  </si>
  <si>
    <t>PINELABS</t>
  </si>
  <si>
    <t>IOC</t>
  </si>
  <si>
    <t>OLAELEC</t>
  </si>
  <si>
    <t>SHREECEM</t>
  </si>
  <si>
    <t>ABB</t>
  </si>
  <si>
    <t>TFCILTD</t>
  </si>
  <si>
    <t>JSWSTEEL</t>
  </si>
  <si>
    <t>APLAPOLLO</t>
  </si>
  <si>
    <t>RBA</t>
  </si>
  <si>
    <t>SUZLON</t>
  </si>
  <si>
    <t>UJJIVANSFB</t>
  </si>
  <si>
    <t>OLECTRA</t>
  </si>
  <si>
    <t>SYRMA</t>
  </si>
  <si>
    <t>CHOLAFIN</t>
  </si>
  <si>
    <t>SIEMENS</t>
  </si>
  <si>
    <t>POLYCAB</t>
  </si>
  <si>
    <t>CHOLAHLDNG</t>
  </si>
  <si>
    <t>GPPL</t>
  </si>
  <si>
    <t>SJS</t>
  </si>
  <si>
    <t>PIDILITIND</t>
  </si>
  <si>
    <t>CIPLA</t>
  </si>
  <si>
    <t>GRSE</t>
  </si>
  <si>
    <t>LTF</t>
  </si>
  <si>
    <t>MANKIND</t>
  </si>
  <si>
    <t>TATACONSUM</t>
  </si>
  <si>
    <t>ANGELONE</t>
  </si>
  <si>
    <t>TDPOWERSYS</t>
  </si>
  <si>
    <t>WABAG</t>
  </si>
  <si>
    <t>AUBANK</t>
  </si>
  <si>
    <t>IFCI</t>
  </si>
  <si>
    <t>KEI</t>
  </si>
  <si>
    <t>HAVELLS</t>
  </si>
  <si>
    <t>ACUTAAS</t>
  </si>
  <si>
    <t>INDUSINDBK</t>
  </si>
  <si>
    <t>WELCORP</t>
  </si>
  <si>
    <t>TARIL</t>
  </si>
  <si>
    <t>DLF</t>
  </si>
  <si>
    <t>SBILIFE</t>
  </si>
  <si>
    <t>UNIMECH</t>
  </si>
  <si>
    <t>CHENNPETRO</t>
  </si>
  <si>
    <t>COCKERILL</t>
  </si>
  <si>
    <t>WAAREEENER</t>
  </si>
  <si>
    <t>GUJENERGY</t>
  </si>
  <si>
    <t>SBICARD</t>
  </si>
  <si>
    <t>AEQUS</t>
  </si>
  <si>
    <t>INDIGO</t>
  </si>
  <si>
    <t>MANIPALHOS</t>
  </si>
  <si>
    <t>INDHOTEL</t>
  </si>
  <si>
    <t>VISL</t>
  </si>
  <si>
    <t>MPHASIS</t>
  </si>
  <si>
    <t>OIL</t>
  </si>
  <si>
    <t>CESC</t>
  </si>
  <si>
    <t>WOCKPHARMA</t>
  </si>
  <si>
    <t>UNITDSPR</t>
  </si>
  <si>
    <t>ZYDUSLIFE</t>
  </si>
  <si>
    <t>KTKBANK</t>
  </si>
  <si>
    <t>ANANTRAJ</t>
  </si>
  <si>
    <t>SBIFUNDS</t>
  </si>
  <si>
    <t>NBCC</t>
  </si>
  <si>
    <t>PCJEWELLER</t>
  </si>
  <si>
    <t>MARICO</t>
  </si>
  <si>
    <t>GODREJPROP</t>
  </si>
  <si>
    <t>LTM</t>
  </si>
  <si>
    <t>YESBANK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</si>
</sst>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3" numFmtId="2" xfId="0" applyAlignment="1" applyFont="1" applyNumberFormat="1">
      <alignment horizontal="center" readingOrder="0" shrinkToFit="0" wrapText="1"/>
    </xf>
    <xf borderId="1" fillId="4" fontId="4" numFmtId="0" xfId="0" applyAlignment="1" applyBorder="1" applyFill="1" applyFont="1">
      <alignment horizontal="center"/>
    </xf>
    <xf borderId="1" fillId="4" fontId="5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4" fontId="4" numFmtId="2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 shrinkToFit="0" wrapText="1"/>
    </xf>
    <xf borderId="0" fillId="0" fontId="1" numFmtId="2" xfId="0" applyFont="1" applyNumberFormat="1"/>
    <xf borderId="0" fillId="0" fontId="1" numFmtId="2" xfId="0" applyAlignment="1" applyFont="1" applyNumberForma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4.63"/>
    <col customWidth="1" min="3" max="3" width="12.13"/>
    <col customWidth="1" min="4" max="4" width="10.63"/>
    <col customWidth="1" min="5" max="5" width="12.0"/>
    <col customWidth="1" min="6" max="6" width="10.5"/>
    <col customWidth="1" min="7" max="7" width="13.0"/>
    <col customWidth="1" min="8" max="8" width="13.75"/>
    <col customWidth="1" min="9" max="9" width="16.25"/>
    <col customWidth="1" min="10" max="10" width="22.88"/>
    <col customWidth="1" min="11" max="11" width="25.0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4" t="s">
        <v>5</v>
      </c>
      <c r="F1" s="4" t="s">
        <v>6</v>
      </c>
      <c r="G1" s="4" t="s">
        <v>7</v>
      </c>
      <c r="H1" s="2" t="s">
        <v>8</v>
      </c>
      <c r="I1" s="4" t="s">
        <v>9</v>
      </c>
      <c r="J1" s="6" t="s">
        <v>10</v>
      </c>
      <c r="K1" s="7"/>
    </row>
    <row r="2">
      <c r="A2" s="8" t="s">
        <v>11</v>
      </c>
      <c r="B2" s="9">
        <v>2.44138344932E10</v>
      </c>
      <c r="C2" s="9">
        <v>1992.1</v>
      </c>
      <c r="D2" s="12">
        <f>IFERROR(__xludf.DUMMYFUNCTION("GOOGLEFINANCE(""NSE:""&amp;A2,""price"")"),1992.0)</f>
        <v>1992</v>
      </c>
      <c r="E2" s="13">
        <f>IFERROR(__xludf.DUMMYFUNCTION("IFERROR(AVERAGE(QUERY(SORT(GOOGLEFINANCE(""NSE:""&amp;A2,""price"",TODAY()-75,TODAY()),1,0),""select Col2 limit 50"")), """")"),1902.6800000000005)</f>
        <v>1902.68</v>
      </c>
      <c r="F2" s="13">
        <f>IFERROR(__xludf.DUMMYFUNCTION("IFERROR(AVERAGE(QUERY(SORT(GOOGLEFINANCE(""NSE:""&amp;A2,""price"",TODAY()-150,TODAY()),1,0),""select Col2 limit 100"")), """")"),1870.9730000000002)</f>
        <v>1870.973</v>
      </c>
      <c r="G2" s="13">
        <f>IFERROR(__xludf.DUMMYFUNCTION("IFERROR(AVERAGE(QUERY(SORT(GOOGLEFINANCE(""NSE:""&amp;A2,""price"",TODAY()-300,TODAY()),1,0),""select Col2 limit 200"")), """")"),1950.9594999999993)</f>
        <v>1950.9595</v>
      </c>
      <c r="H2" s="15" t="str">
        <f t="shared" ref="H2:H251" si="1">IF(AND(D2&gt;E2, D2&gt;F2, D2&gt;G2, I2&gt;=0.01, I2&lt;=10), "In Bull Run",
IF(AND(D2&lt;E2, D2&lt;F2, D2&lt;G2, I2&gt;=-10, I2&lt;=-0.01), "In Bear Run", "Unconfirmed"))</f>
        <v>In Bull Run</v>
      </c>
      <c r="I2" s="16">
        <f t="shared" ref="I2:I251" si="2">((D2-G2)*100)/G2</f>
        <v>2.103605944</v>
      </c>
      <c r="J2" s="7" t="str">
        <f>IFERROR(__xludf.DUMMYFUNCTION("IFERROR(IF(A2="""",""ENTER STOCK"",
  LET(
    raw_high, GOOGLEFINANCE(""NSE:"" &amp; A2, ""high"", TODAY()-365, TODAY()),
    high_date, IFERROR(TO_DATE(QUERY(raw_high, ""SELECT Col1 WHERE Col2 IS NOT NULL ORDER BY Col2 DESC LIMIT 1 LABEL Col1 ''"", 1)), "&amp;"TODAY()-30),
    raw_data, IFERROR(GOOGLEFINANCE(""NSE:"" &amp; A2, ""close"", high_date, TODAY()), GOOGLEFINANCE(""NSE:"" &amp; A2, ""close"", TODAY()-10, TODAY())),
    prices, IFERROR(CHOOSEROWS(INDEX(raw_data, 0, 2), SEQUENCE(ROWS(raw_data)-1, 1, 2, 1)), {0"&amp;"}),
    count_rows, ROWS(prices),
    cum_avg, SCAN(0, SEQUENCE(count_rows), LAMBDA(a,n, AVERAGE(CHOOSEROWS(prices, SEQUENCE(n))))),
    last_10, IF(count_rows &lt; 10, {0;0;0;0;0;0;0;0;0;0}, CHOOSEROWS(cum_avg, SEQUENCE(10, 1, count_rows - 9, 1))),
 chec"&amp;"k,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" s="17" t="s">
        <v>13</v>
      </c>
    </row>
    <row r="3">
      <c r="A3" s="8" t="s">
        <v>14</v>
      </c>
      <c r="B3" s="9">
        <v>1.66476768277E10</v>
      </c>
      <c r="C3" s="9">
        <v>1729.7</v>
      </c>
      <c r="D3" s="12">
        <f>IFERROR(__xludf.DUMMYFUNCTION("GOOGLEFINANCE(""NSE:""&amp;A3,""price"")"),1736.1)</f>
        <v>1736.1</v>
      </c>
      <c r="E3" s="13">
        <f>IFERROR(__xludf.DUMMYFUNCTION("IFERROR(AVERAGE(QUERY(SORT(GOOGLEFINANCE(""NSE:""&amp;A3,""price"",TODAY()-75,TODAY()),1,0),""select Col2 limit 50"")), """")"),1558.5279999999998)</f>
        <v>1558.528</v>
      </c>
      <c r="F3" s="13">
        <f>IFERROR(__xludf.DUMMYFUNCTION("IFERROR(AVERAGE(QUERY(SORT(GOOGLEFINANCE(""NSE:""&amp;A3,""price"",TODAY()-150,TODAY()),1,0),""select Col2 limit 100"")), """")"),1540.1960000000001)</f>
        <v>1540.196</v>
      </c>
      <c r="G3" s="13">
        <f>IFERROR(__xludf.DUMMYFUNCTION("IFERROR(AVERAGE(QUERY(SORT(GOOGLEFINANCE(""NSE:""&amp;A3,""price"",TODAY()-300,TODAY()),1,0),""select Col2 limit 200"")), """")"),1546.0525000000002)</f>
        <v>1546.0525</v>
      </c>
      <c r="H3" s="15" t="str">
        <f t="shared" si="1"/>
        <v>Unconfirmed</v>
      </c>
      <c r="I3" s="16">
        <f t="shared" si="2"/>
        <v>12.29243509</v>
      </c>
      <c r="J3" s="7" t="str">
        <f>IFERROR(__xludf.DUMMYFUNCTION("IFERROR(IF(A3="""",""ENTER STOCK"",
  LET(
    raw_high, GOOGLEFINANCE(""NSE:"" &amp; A3, ""high"", TODAY()-365, TODAY()),
    high_date, IFERROR(TO_DATE(QUERY(raw_high, ""SELECT Col1 WHERE Col2 IS NOT NULL ORDER BY Col2 DESC LIMIT 1 LABEL Col1 ''"", 1)), "&amp;"TODAY()-30),
    raw_data, IFERROR(GOOGLEFINANCE(""NSE:"" &amp; A3, ""close"", high_date, TODAY()), GOOGLEFINANCE(""NSE:"" &amp; A3, ""close"", TODAY()-10, TODAY())),
    prices, IFERROR(CHOOSEROWS(INDEX(raw_data, 0, 2), SEQUENCE(ROWS(raw_data)-1, 1, 2, 1)), {0"&amp;"}),
    count_rows, ROWS(prices),
    cum_avg, SCAN(0, SEQUENCE(count_rows), LAMBDA(a,n, AVERAGE(CHOOSEROWS(prices, SEQUENCE(n))))),
    last_10, IF(count_rows &lt; 10, {0;0;0;0;0;0;0;0;0;0}, CHOOSEROWS(cum_avg, SEQUENCE(10, 1, count_rows - 9, 1))),
 chec"&amp;"k,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3" s="7"/>
    </row>
    <row r="4">
      <c r="A4" s="8" t="s">
        <v>15</v>
      </c>
      <c r="B4" s="9">
        <v>1.480407900605E10</v>
      </c>
      <c r="C4" s="9">
        <v>727.0</v>
      </c>
      <c r="D4" s="12">
        <f>IFERROR(__xludf.DUMMYFUNCTION("GOOGLEFINANCE(""NSE:""&amp;A4,""price"")"),727.0)</f>
        <v>727</v>
      </c>
      <c r="E4" s="13">
        <f>IFERROR(__xludf.DUMMYFUNCTION("IFERROR(AVERAGE(QUERY(SORT(GOOGLEFINANCE(""NSE:""&amp;A4,""price"",TODAY()-75,TODAY()),1,0),""select Col2 limit 50"")), """")"),771.6610000000001)</f>
        <v>771.661</v>
      </c>
      <c r="F4" s="13">
        <f>IFERROR(__xludf.DUMMYFUNCTION("IFERROR(AVERAGE(QUERY(SORT(GOOGLEFINANCE(""NSE:""&amp;A4,""price"",TODAY()-150,TODAY()),1,0),""select Col2 limit 100"")), """")"),773.1054999999999)</f>
        <v>773.1055</v>
      </c>
      <c r="G4" s="13">
        <f>IFERROR(__xludf.DUMMYFUNCTION("IFERROR(AVERAGE(QUERY(SORT(GOOGLEFINANCE(""NSE:""&amp;A4,""price"",TODAY()-300,TODAY()),1,0),""select Col2 limit 200"")), """")"),862.8434999999997)</f>
        <v>862.8435</v>
      </c>
      <c r="H4" s="15" t="str">
        <f t="shared" si="1"/>
        <v>Unconfirmed</v>
      </c>
      <c r="I4" s="16">
        <f t="shared" si="2"/>
        <v>-15.74370091</v>
      </c>
      <c r="J4" s="7" t="str">
        <f>IFERROR(__xludf.DUMMYFUNCTION("IFERROR(IF(A4="""",""ENTER STOCK"",
  LET(
    raw_high, GOOGLEFINANCE(""NSE:"" &amp; A4, ""high"", TODAY()-365, TODAY()),
    high_date, IFERROR(TO_DATE(QUERY(raw_high, ""SELECT Col1 WHERE Col2 IS NOT NULL ORDER BY Col2 DESC LIMIT 1 LABEL Col1 ''"", 1)), "&amp;"TODAY()-30),
    raw_data, IFERROR(GOOGLEFINANCE(""NSE:"" &amp; A4, ""close"", high_date, TODAY()), GOOGLEFINANCE(""NSE:"" &amp; A4, ""close"", TODAY()-10, TODAY())),
    prices, IFERROR(CHOOSEROWS(INDEX(raw_data, 0, 2), SEQUENCE(ROWS(raw_data)-1, 1, 2, 1)), {0"&amp;"}),
    count_rows, ROWS(prices),
    cum_avg, SCAN(0, SEQUENCE(count_rows), LAMBDA(a,n, AVERAGE(CHOOSEROWS(prices, SEQUENCE(n))))),
    last_10, IF(count_rows &lt; 10, {0;0;0;0;0;0;0;0;0;0}, CHOOSEROWS(cum_avg, SEQUENCE(10, 1, count_rows - 9, 1))),
 chec"&amp;"k,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4" s="7"/>
    </row>
    <row r="5">
      <c r="A5" s="8" t="s">
        <v>16</v>
      </c>
      <c r="B5" s="9">
        <v>1.458901503018E10</v>
      </c>
      <c r="C5" s="9">
        <v>144.93</v>
      </c>
      <c r="D5" s="12" t="str">
        <f>IFERROR(__xludf.DUMMYFUNCTION("GOOGLEFINANCE(""NSE:""&amp;A5,""price"")"),"#N/A")</f>
        <v>#N/A</v>
      </c>
      <c r="E5" s="13" t="str">
        <f>IFERROR(__xludf.DUMMYFUNCTION("IFERROR(AVERAGE(QUERY(SORT(GOOGLEFINANCE(""NSE:""&amp;A5,""price"",TODAY()-75,TODAY()),1,0),""select Col2 limit 50"")), """")"),"")</f>
        <v/>
      </c>
      <c r="F5" s="13" t="str">
        <f>IFERROR(__xludf.DUMMYFUNCTION("IFERROR(AVERAGE(QUERY(SORT(GOOGLEFINANCE(""NSE:""&amp;A5,""price"",TODAY()-150,TODAY()),1,0),""select Col2 limit 100"")), """")"),"")</f>
        <v/>
      </c>
      <c r="G5" s="13" t="str">
        <f>IFERROR(__xludf.DUMMYFUNCTION("IFERROR(AVERAGE(QUERY(SORT(GOOGLEFINANCE(""NSE:""&amp;A5,""price"",TODAY()-300,TODAY()),1,0),""select Col2 limit 200"")), """")"),"")</f>
        <v/>
      </c>
      <c r="H5" s="15" t="str">
        <f t="shared" si="1"/>
        <v>#N/A</v>
      </c>
      <c r="I5" s="16" t="str">
        <f t="shared" si="2"/>
        <v>#N/A</v>
      </c>
      <c r="J5" s="7" t="str">
        <f>IFERROR(__xludf.DUMMYFUNCTION("IFERROR(IF(A5="""",""ENTER STOCK"",
  LET(
    raw_high, GOOGLEFINANCE(""NSE:"" &amp; A5, ""high"", TODAY()-365, TODAY()),
    high_date, IFERROR(TO_DATE(QUERY(raw_high, ""SELECT Col1 WHERE Col2 IS NOT NULL ORDER BY Col2 DESC LIMIT 1 LABEL Col1 ''"", 1)), "&amp;"TODAY()-30),
    raw_data, IFERROR(GOOGLEFINANCE(""NSE:"" &amp; A5, ""close"", high_date, TODAY()), GOOGLEFINANCE(""NSE:"" &amp; A5, ""close"", TODAY()-10, TODAY())),
    prices, IFERROR(CHOOSEROWS(INDEX(raw_data, 0, 2), SEQUENCE(ROWS(raw_data)-1, 1, 2, 1)), {0"&amp;"}),
    count_rows, ROWS(prices),
    cum_avg, SCAN(0, SEQUENCE(count_rows), LAMBDA(a,n, AVERAGE(CHOOSEROWS(prices, SEQUENCE(n))))),
    last_10, IF(count_rows &lt; 10, {0;0;0;0;0;0;0;0;0;0}, CHOOSEROWS(cum_avg, SEQUENCE(10, 1, count_rows - 9, 1))),
 chec"&amp;"k,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5" s="7"/>
    </row>
    <row r="6">
      <c r="A6" s="8" t="s">
        <v>17</v>
      </c>
      <c r="B6" s="9">
        <v>1.37334047205E10</v>
      </c>
      <c r="C6" s="9">
        <v>1310.0</v>
      </c>
      <c r="D6" s="12">
        <f>IFERROR(__xludf.DUMMYFUNCTION("GOOGLEFINANCE(""NSE:""&amp;A6,""price"")"),1308.7)</f>
        <v>1308.7</v>
      </c>
      <c r="E6" s="13">
        <f>IFERROR(__xludf.DUMMYFUNCTION("IFERROR(AVERAGE(QUERY(SORT(GOOGLEFINANCE(""NSE:""&amp;A6,""price"",TODAY()-75,TODAY()),1,0),""select Col2 limit 50"")), """")"),1301.4340000000002)</f>
        <v>1301.434</v>
      </c>
      <c r="F6" s="13">
        <f>IFERROR(__xludf.DUMMYFUNCTION("IFERROR(AVERAGE(QUERY(SORT(GOOGLEFINANCE(""NSE:""&amp;A6,""price"",TODAY()-150,TODAY()),1,0),""select Col2 limit 100"")), """")"),1332.9500000000003)</f>
        <v>1332.95</v>
      </c>
      <c r="G6" s="13">
        <f>IFERROR(__xludf.DUMMYFUNCTION("IFERROR(AVERAGE(QUERY(SORT(GOOGLEFINANCE(""NSE:""&amp;A6,""price"",TODAY()-300,TODAY()),1,0),""select Col2 limit 200"")), """")"),1405.3819999999998)</f>
        <v>1405.382</v>
      </c>
      <c r="H6" s="15" t="str">
        <f t="shared" si="1"/>
        <v>Unconfirmed</v>
      </c>
      <c r="I6" s="16">
        <f t="shared" si="2"/>
        <v>-6.879410722</v>
      </c>
      <c r="J6" s="7" t="str">
        <f>IFERROR(__xludf.DUMMYFUNCTION("IFERROR(IF(A6="""",""ENTER STOCK"",
  LET(
    raw_high, GOOGLEFINANCE(""NSE:"" &amp; A6, ""high"", TODAY()-365, TODAY()),
    high_date, IFERROR(TO_DATE(QUERY(raw_high, ""SELECT Col1 WHERE Col2 IS NOT NULL ORDER BY Col2 DESC LIMIT 1 LABEL Col1 ''"", 1)), "&amp;"TODAY()-30),
    raw_data, IFERROR(GOOGLEFINANCE(""NSE:"" &amp; A6, ""close"", high_date, TODAY()), GOOGLEFINANCE(""NSE:"" &amp; A6, ""close"", TODAY()-10, TODAY())),
    prices, IFERROR(CHOOSEROWS(INDEX(raw_data, 0, 2), SEQUENCE(ROWS(raw_data)-1, 1, 2, 1)), {0"&amp;"}),
    count_rows, ROWS(prices),
    cum_avg, SCAN(0, SEQUENCE(count_rows), LAMBDA(a,n, AVERAGE(CHOOSEROWS(prices, SEQUENCE(n))))),
    last_10, IF(count_rows &lt; 10, {0;0;0;0;0;0;0;0;0;0}, CHOOSEROWS(cum_avg, SEQUENCE(10, 1, count_rows - 9, 1))),
 chec"&amp;"k,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6" s="7"/>
    </row>
    <row r="7">
      <c r="A7" s="8" t="s">
        <v>18</v>
      </c>
      <c r="B7" s="9">
        <v>1.29758625089E10</v>
      </c>
      <c r="C7" s="9">
        <v>1737.1</v>
      </c>
      <c r="D7" s="12">
        <f>IFERROR(__xludf.DUMMYFUNCTION("GOOGLEFINANCE(""NSE:""&amp;A7,""price"")"),1742.0)</f>
        <v>1742</v>
      </c>
      <c r="E7" s="13">
        <f>IFERROR(__xludf.DUMMYFUNCTION("IFERROR(AVERAGE(QUERY(SORT(GOOGLEFINANCE(""NSE:""&amp;A7,""price"",TODAY()-75,TODAY()),1,0),""select Col2 limit 50"")), """")"),1585.4699999999998)</f>
        <v>1585.47</v>
      </c>
      <c r="F7" s="13">
        <f>IFERROR(__xludf.DUMMYFUNCTION("IFERROR(AVERAGE(QUERY(SORT(GOOGLEFINANCE(""NSE:""&amp;A7,""price"",TODAY()-150,TODAY()),1,0),""select Col2 limit 100"")), """")"),1485.1679999999997)</f>
        <v>1485.168</v>
      </c>
      <c r="G7" s="13">
        <f>IFERROR(__xludf.DUMMYFUNCTION("IFERROR(AVERAGE(QUERY(SORT(GOOGLEFINANCE(""NSE:""&amp;A7,""price"",TODAY()-300,TODAY()),1,0),""select Col2 limit 200"")), """")"),1413.1409999999998)</f>
        <v>1413.141</v>
      </c>
      <c r="H7" s="15" t="str">
        <f t="shared" si="1"/>
        <v>Unconfirmed</v>
      </c>
      <c r="I7" s="16">
        <f t="shared" si="2"/>
        <v>23.27149237</v>
      </c>
      <c r="J7" s="7" t="str">
        <f>IFERROR(__xludf.DUMMYFUNCTION("IFERROR(IF(A7="""",""ENTER STOCK"",
  LET(
    raw_high, GOOGLEFINANCE(""NSE:"" &amp; A7, ""high"", TODAY()-365, TODAY()),
    high_date, IFERROR(TO_DATE(QUERY(raw_high, ""SELECT Col1 WHERE Col2 IS NOT NULL ORDER BY Col2 DESC LIMIT 1 LABEL Col1 ''"", 1)), "&amp;"TODAY()-30),
    raw_data, IFERROR(GOOGLEFINANCE(""NSE:"" &amp; A7, ""close"", high_date, TODAY()), GOOGLEFINANCE(""NSE:"" &amp; A7, ""close"", TODAY()-10, TODAY())),
    prices, IFERROR(CHOOSEROWS(INDEX(raw_data, 0, 2), SEQUENCE(ROWS(raw_data)-1, 1, 2, 1)), {0"&amp;"}),
    count_rows, ROWS(prices),
    cum_avg, SCAN(0, SEQUENCE(count_rows), LAMBDA(a,n, AVERAGE(CHOOSEROWS(prices, SEQUENCE(n))))),
    last_10, IF(count_rows &lt; 10, {0;0;0;0;0;0;0;0;0;0}, CHOOSEROWS(cum_avg, SEQUENCE(10, 1, count_rows - 9, 1))),
 chec"&amp;"k,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7" s="7"/>
    </row>
    <row r="8">
      <c r="A8" s="8" t="s">
        <v>19</v>
      </c>
      <c r="B8" s="9">
        <v>1.261608776428E10</v>
      </c>
      <c r="C8" s="9">
        <v>164.06</v>
      </c>
      <c r="D8" s="12">
        <f>IFERROR(__xludf.DUMMYFUNCTION("GOOGLEFINANCE(""NSE:""&amp;A8,""price"")"),164.1)</f>
        <v>164.1</v>
      </c>
      <c r="E8" s="13">
        <f>IFERROR(__xludf.DUMMYFUNCTION("IFERROR(AVERAGE(QUERY(SORT(GOOGLEFINANCE(""NSE:""&amp;A8,""price"",TODAY()-75,TODAY()),1,0),""select Col2 limit 50"")), """")"),159.8982)</f>
        <v>159.8982</v>
      </c>
      <c r="F8" s="13">
        <f>IFERROR(__xludf.DUMMYFUNCTION("IFERROR(AVERAGE(QUERY(SORT(GOOGLEFINANCE(""NSE:""&amp;A8,""price"",TODAY()-150,TODAY()),1,0),""select Col2 limit 100"")), """")"),144.74919999999997)</f>
        <v>144.7492</v>
      </c>
      <c r="G8" s="13">
        <f>IFERROR(__xludf.DUMMYFUNCTION("IFERROR(AVERAGE(QUERY(SORT(GOOGLEFINANCE(""NSE:""&amp;A8,""price"",TODAY()-300,TODAY()),1,0),""select Col2 limit 200"")), """")"),137.82434999999998)</f>
        <v>137.82435</v>
      </c>
      <c r="H8" s="15" t="str">
        <f t="shared" si="1"/>
        <v>Unconfirmed</v>
      </c>
      <c r="I8" s="16">
        <f t="shared" si="2"/>
        <v>19.064592</v>
      </c>
      <c r="J8" s="7" t="str">
        <f>IFERROR(__xludf.DUMMYFUNCTION("IFERROR(IF(A8="""",""ENTER STOCK"",
  LET(
    raw_high, GOOGLEFINANCE(""NSE:"" &amp; A8, ""high"", TODAY()-365, TODAY()),
    high_date, IFERROR(TO_DATE(QUERY(raw_high, ""SELECT Col1 WHERE Col2 IS NOT NULL ORDER BY Col2 DESC LIMIT 1 LABEL Col1 ''"", 1)), "&amp;"TODAY()-30),
    raw_data, IFERROR(GOOGLEFINANCE(""NSE:"" &amp; A8, ""close"", high_date, TODAY()), GOOGLEFINANCE(""NSE:"" &amp; A8, ""close"", TODAY()-10, TODAY())),
    prices, IFERROR(CHOOSEROWS(INDEX(raw_data, 0, 2), SEQUENCE(ROWS(raw_data)-1, 1, 2, 1)), {0"&amp;"}),
    count_rows, ROWS(prices),
    cum_avg, SCAN(0, SEQUENCE(count_rows), LAMBDA(a,n, AVERAGE(CHOOSEROWS(prices, SEQUENCE(n))))),
    last_10, IF(count_rows &lt; 10, {0;0;0;0;0;0;0;0;0;0}, CHOOSEROWS(cum_avg, SEQUENCE(10, 1, count_rows - 9, 1))),
 chec"&amp;"k,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8" s="7"/>
    </row>
    <row r="9">
      <c r="A9" s="8" t="s">
        <v>20</v>
      </c>
      <c r="B9" s="9">
        <v>1.17047461763E10</v>
      </c>
      <c r="C9" s="9">
        <v>1398.0</v>
      </c>
      <c r="D9" s="12">
        <f>IFERROR(__xludf.DUMMYFUNCTION("GOOGLEFINANCE(""NSE:""&amp;A9,""price"")"),1398.0)</f>
        <v>1398</v>
      </c>
      <c r="E9" s="13">
        <f>IFERROR(__xludf.DUMMYFUNCTION("IFERROR(AVERAGE(QUERY(SORT(GOOGLEFINANCE(""NSE:""&amp;A9,""price"",TODAY()-75,TODAY()),1,0),""select Col2 limit 50"")), """")"),1296.3200000000002)</f>
        <v>1296.32</v>
      </c>
      <c r="F9" s="13">
        <f>IFERROR(__xludf.DUMMYFUNCTION("IFERROR(AVERAGE(QUERY(SORT(GOOGLEFINANCE(""NSE:""&amp;A9,""price"",TODAY()-150,TODAY()),1,0),""select Col2 limit 100"")), """")"),1302.0480000000002)</f>
        <v>1302.048</v>
      </c>
      <c r="G9" s="13">
        <f>IFERROR(__xludf.DUMMYFUNCTION("IFERROR(AVERAGE(QUERY(SORT(GOOGLEFINANCE(""NSE:""&amp;A9,""price"",TODAY()-300,TODAY()),1,0),""select Col2 limit 200"")), """")"),1364.2725)</f>
        <v>1364.2725</v>
      </c>
      <c r="H9" s="15" t="str">
        <f t="shared" si="1"/>
        <v>In Bull Run</v>
      </c>
      <c r="I9" s="16">
        <f t="shared" si="2"/>
        <v>2.47219672</v>
      </c>
      <c r="J9" s="7" t="str">
        <f>IFERROR(__xludf.DUMMYFUNCTION("IFERROR(IF(A9="""",""ENTER STOCK"",
  LET(
    raw_high, GOOGLEFINANCE(""NSE:"" &amp; A9, ""high"", TODAY()-365, TODAY()),
    high_date, IFERROR(TO_DATE(QUERY(raw_high, ""SELECT Col1 WHERE Col2 IS NOT NULL ORDER BY Col2 DESC LIMIT 1 LABEL Col1 ''"", 1)), "&amp;"TODAY()-30),
    raw_data, IFERROR(GOOGLEFINANCE(""NSE:"" &amp; A9, ""close"", high_date, TODAY()), GOOGLEFINANCE(""NSE:"" &amp; A9, ""close"", TODAY()-10, TODAY())),
    prices, IFERROR(CHOOSEROWS(INDEX(raw_data, 0, 2), SEQUENCE(ROWS(raw_data)-1, 1, 2, 1)), {0"&amp;"}),
    count_rows, ROWS(prices),
    cum_avg, SCAN(0, SEQUENCE(count_rows), LAMBDA(a,n, AVERAGE(CHOOSEROWS(prices, SEQUENCE(n))))),
    last_10, IF(count_rows &lt; 10, {0;0;0;0;0;0;0;0;0;0}, CHOOSEROWS(cum_avg, SEQUENCE(10, 1, count_rows - 9, 1))),
 chec"&amp;"k,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9" s="7"/>
    </row>
    <row r="10">
      <c r="A10" s="8" t="s">
        <v>21</v>
      </c>
      <c r="B10" s="9">
        <v>1.138095448084E10</v>
      </c>
      <c r="C10" s="9">
        <v>102.28</v>
      </c>
      <c r="D10" s="12">
        <f>IFERROR(__xludf.DUMMYFUNCTION("GOOGLEFINANCE(""NSE:""&amp;A10,""price"")"),102.0)</f>
        <v>102</v>
      </c>
      <c r="E10" s="13">
        <f>IFERROR(__xludf.DUMMYFUNCTION("IFERROR(AVERAGE(QUERY(SORT(GOOGLEFINANCE(""NSE:""&amp;A10,""price"",TODAY()-75,TODAY()),1,0),""select Col2 limit 50"")), """")"),105.28380000000001)</f>
        <v>105.2838</v>
      </c>
      <c r="F10" s="13">
        <f>IFERROR(__xludf.DUMMYFUNCTION("IFERROR(AVERAGE(QUERY(SORT(GOOGLEFINANCE(""NSE:""&amp;A10,""price"",TODAY()-150,TODAY()),1,0),""select Col2 limit 100"")), """")"),95.08959999999999)</f>
        <v>95.0896</v>
      </c>
      <c r="G10" s="13">
        <f>IFERROR(__xludf.DUMMYFUNCTION("IFERROR(AVERAGE(QUERY(SORT(GOOGLEFINANCE(""NSE:""&amp;A10,""price"",TODAY()-300,TODAY()),1,0),""select Col2 limit 200"")), """")"),93.43979999999998)</f>
        <v>93.4398</v>
      </c>
      <c r="H10" s="15" t="str">
        <f t="shared" si="1"/>
        <v>Unconfirmed</v>
      </c>
      <c r="I10" s="16">
        <f t="shared" si="2"/>
        <v>9.161192554</v>
      </c>
      <c r="J10" s="7" t="str">
        <f>IFERROR(__xludf.DUMMYFUNCTION("IFERROR(IF(A10="""",""ENTER STOCK"",
  LET(
    raw_high, GOOGLEFINANCE(""NSE:"" &amp; A10, ""high"", TODAY()-365, TODAY()),
    high_date, IFERROR(TO_DATE(QUERY(raw_high, ""SELECT Col1 WHERE Col2 IS NOT NULL ORDER BY Col2 DESC LIMIT 1 LABEL Col1 ''"", 1))"&amp;", TODAY()-30),
    raw_data, IFERROR(GOOGLEFINANCE(""NSE:"" &amp; A10, ""close"", high_date, TODAY()), GOOGLEFINANCE(""NSE:"" &amp; A10,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0" s="7"/>
    </row>
    <row r="11">
      <c r="A11" s="8" t="s">
        <v>22</v>
      </c>
      <c r="B11" s="9">
        <v>1.12905560321E10</v>
      </c>
      <c r="C11" s="9">
        <v>1616.0</v>
      </c>
      <c r="D11" s="12">
        <f>IFERROR(__xludf.DUMMYFUNCTION("GOOGLEFINANCE(""NSE:""&amp;A11,""price"")"),1615.0)</f>
        <v>1615</v>
      </c>
      <c r="E11" s="13">
        <f>IFERROR(__xludf.DUMMYFUNCTION("IFERROR(AVERAGE(QUERY(SORT(GOOGLEFINANCE(""NSE:""&amp;A11,""price"",TODAY()-75,TODAY()),1,0),""select Col2 limit 50"")), """")"),1603.1460000000004)</f>
        <v>1603.146</v>
      </c>
      <c r="F11" s="13">
        <f>IFERROR(__xludf.DUMMYFUNCTION("IFERROR(AVERAGE(QUERY(SORT(GOOGLEFINANCE(""NSE:""&amp;A11,""price"",TODAY()-150,TODAY()),1,0),""select Col2 limit 100"")), """")"),1434.7705)</f>
        <v>1434.7705</v>
      </c>
      <c r="G11" s="13">
        <f>IFERROR(__xludf.DUMMYFUNCTION("IFERROR(AVERAGE(QUERY(SORT(GOOGLEFINANCE(""NSE:""&amp;A11,""price"",TODAY()-300,TODAY()),1,0),""select Col2 limit 200"")), """")"),1208.8737499999997)</f>
        <v>1208.87375</v>
      </c>
      <c r="H11" s="15" t="str">
        <f t="shared" si="1"/>
        <v>Unconfirmed</v>
      </c>
      <c r="I11" s="16">
        <f t="shared" si="2"/>
        <v>33.59542301</v>
      </c>
      <c r="J11" s="7" t="str">
        <f>IFERROR(__xludf.DUMMYFUNCTION("IFERROR(IF(A11="""",""ENTER STOCK"",
  LET(
    raw_high, GOOGLEFINANCE(""NSE:"" &amp; A11, ""high"", TODAY()-365, TODAY()),
    high_date, IFERROR(TO_DATE(QUERY(raw_high, ""SELECT Col1 WHERE Col2 IS NOT NULL ORDER BY Col2 DESC LIMIT 1 LABEL Col1 ''"", 1))"&amp;", TODAY()-30),
    raw_data, IFERROR(GOOGLEFINANCE(""NSE:"" &amp; A11, ""close"", high_date, TODAY()), GOOGLEFINANCE(""NSE:"" &amp; A11,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1" s="7"/>
    </row>
    <row r="12">
      <c r="A12" s="8" t="s">
        <v>23</v>
      </c>
      <c r="B12" s="9">
        <v>1.1274496039E10</v>
      </c>
      <c r="C12" s="9">
        <v>8920.5</v>
      </c>
      <c r="D12" s="12">
        <f>IFERROR(__xludf.DUMMYFUNCTION("GOOGLEFINANCE(""NSE:""&amp;A12,""price"")"),8919.0)</f>
        <v>8919</v>
      </c>
      <c r="E12" s="13">
        <f>IFERROR(__xludf.DUMMYFUNCTION("IFERROR(AVERAGE(QUERY(SORT(GOOGLEFINANCE(""NSE:""&amp;A12,""price"",TODAY()-75,TODAY()),1,0),""select Col2 limit 50"")), """")"),8731.21)</f>
        <v>8731.21</v>
      </c>
      <c r="F12" s="13">
        <f>IFERROR(__xludf.DUMMYFUNCTION("IFERROR(AVERAGE(QUERY(SORT(GOOGLEFINANCE(""NSE:""&amp;A12,""price"",TODAY()-150,TODAY()),1,0),""select Col2 limit 100"")), """")"),8260.705)</f>
        <v>8260.705</v>
      </c>
      <c r="G12" s="13">
        <f>IFERROR(__xludf.DUMMYFUNCTION("IFERROR(AVERAGE(QUERY(SORT(GOOGLEFINANCE(""NSE:""&amp;A12,""price"",TODAY()-300,TODAY()),1,0),""select Col2 limit 200"")), """")"),7810.43)</f>
        <v>7810.43</v>
      </c>
      <c r="H12" s="15" t="str">
        <f t="shared" si="1"/>
        <v>Unconfirmed</v>
      </c>
      <c r="I12" s="16">
        <f t="shared" si="2"/>
        <v>14.1934567</v>
      </c>
      <c r="J12" s="7" t="str">
        <f>IFERROR(__xludf.DUMMYFUNCTION("IFERROR(IF(A12="""",""ENTER STOCK"",
  LET(
    raw_high, GOOGLEFINANCE(""NSE:"" &amp; A12, ""high"", TODAY()-365, TODAY()),
    high_date, IFERROR(TO_DATE(QUERY(raw_high, ""SELECT Col1 WHERE Col2 IS NOT NULL ORDER BY Col2 DESC LIMIT 1 LABEL Col1 ''"", 1))"&amp;", TODAY()-30),
    raw_data, IFERROR(GOOGLEFINANCE(""NSE:"" &amp; A12, ""close"", high_date, TODAY()), GOOGLEFINANCE(""NSE:"" &amp; A12,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2" s="7"/>
    </row>
    <row r="13">
      <c r="A13" s="8" t="s">
        <v>24</v>
      </c>
      <c r="B13" s="9">
        <v>1.1148175991E10</v>
      </c>
      <c r="C13" s="9">
        <v>502.8</v>
      </c>
      <c r="D13" s="12">
        <f>IFERROR(__xludf.DUMMYFUNCTION("GOOGLEFINANCE(""NSE:""&amp;A13,""price"")"),502.0)</f>
        <v>502</v>
      </c>
      <c r="E13" s="13">
        <f>IFERROR(__xludf.DUMMYFUNCTION("IFERROR(AVERAGE(QUERY(SORT(GOOGLEFINANCE(""NSE:""&amp;A13,""price"",TODAY()-75,TODAY()),1,0),""select Col2 limit 50"")), """")"),448.2470000000002)</f>
        <v>448.247</v>
      </c>
      <c r="F13" s="13">
        <f>IFERROR(__xludf.DUMMYFUNCTION("IFERROR(AVERAGE(QUERY(SORT(GOOGLEFINANCE(""NSE:""&amp;A13,""price"",TODAY()-150,TODAY()),1,0),""select Col2 limit 100"")), """")"),396.84550000000013)</f>
        <v>396.8455</v>
      </c>
      <c r="G13" s="13">
        <f>IFERROR(__xludf.DUMMYFUNCTION("IFERROR(AVERAGE(QUERY(SORT(GOOGLEFINANCE(""NSE:""&amp;A13,""price"",TODAY()-300,TODAY()),1,0),""select Col2 limit 200"")), """")"),339.88399999999996)</f>
        <v>339.884</v>
      </c>
      <c r="H13" s="15" t="str">
        <f t="shared" si="1"/>
        <v>Unconfirmed</v>
      </c>
      <c r="I13" s="16">
        <f t="shared" si="2"/>
        <v>47.69744972</v>
      </c>
      <c r="J13" s="7" t="str">
        <f>IFERROR(__xludf.DUMMYFUNCTION("IFERROR(IF(A13="""",""ENTER STOCK"",
  LET(
    raw_high, GOOGLEFINANCE(""NSE:"" &amp; A13, ""high"", TODAY()-365, TODAY()),
    high_date, IFERROR(TO_DATE(QUERY(raw_high, ""SELECT Col1 WHERE Col2 IS NOT NULL ORDER BY Col2 DESC LIMIT 1 LABEL Col1 ''"", 1))"&amp;", TODAY()-30),
    raw_data, IFERROR(GOOGLEFINANCE(""NSE:"" &amp; A13, ""close"", high_date, TODAY()), GOOGLEFINANCE(""NSE:"" &amp; A13,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3" s="7"/>
    </row>
    <row r="14">
      <c r="A14" s="8" t="s">
        <v>25</v>
      </c>
      <c r="B14" s="9">
        <v>1.089282443947E10</v>
      </c>
      <c r="C14" s="9">
        <v>14.11</v>
      </c>
      <c r="D14" s="12">
        <f>IFERROR(__xludf.DUMMYFUNCTION("GOOGLEFINANCE(""NSE:""&amp;A14,""price"")"),14.1)</f>
        <v>14.1</v>
      </c>
      <c r="E14" s="13">
        <f>IFERROR(__xludf.DUMMYFUNCTION("IFERROR(AVERAGE(QUERY(SORT(GOOGLEFINANCE(""NSE:""&amp;A14,""price"",TODAY()-75,TODAY()),1,0),""select Col2 limit 50"")), """")"),13.852199999999998)</f>
        <v>13.8522</v>
      </c>
      <c r="F14" s="13">
        <f>IFERROR(__xludf.DUMMYFUNCTION("IFERROR(AVERAGE(QUERY(SORT(GOOGLEFINANCE(""NSE:""&amp;A14,""price"",TODAY()-150,TODAY()),1,0),""select Col2 limit 100"")), """")"),12.422099999999999)</f>
        <v>12.4221</v>
      </c>
      <c r="G14" s="13">
        <f>IFERROR(__xludf.DUMMYFUNCTION("IFERROR(AVERAGE(QUERY(SORT(GOOGLEFINANCE(""NSE:""&amp;A14,""price"",TODAY()-300,TODAY()),1,0),""select Col2 limit 200"")), """")"),11.520299999999994)</f>
        <v>11.5203</v>
      </c>
      <c r="H14" s="15" t="str">
        <f t="shared" si="1"/>
        <v>Unconfirmed</v>
      </c>
      <c r="I14" s="16">
        <f t="shared" si="2"/>
        <v>22.39264602</v>
      </c>
      <c r="J14" s="7" t="str">
        <f>IFERROR(__xludf.DUMMYFUNCTION("IFERROR(IF(A14="""",""ENTER STOCK"",
  LET(
    raw_high, GOOGLEFINANCE(""NSE:"" &amp; A14, ""high"", TODAY()-365, TODAY()),
    high_date, IFERROR(TO_DATE(QUERY(raw_high, ""SELECT Col1 WHERE Col2 IS NOT NULL ORDER BY Col2 DESC LIMIT 1 LABEL Col1 ''"", 1))"&amp;", TODAY()-30),
    raw_data, IFERROR(GOOGLEFINANCE(""NSE:"" &amp; A14, ""close"", high_date, TODAY()), GOOGLEFINANCE(""NSE:"" &amp; A14,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4" s="7"/>
    </row>
    <row r="15">
      <c r="A15" s="8" t="s">
        <v>26</v>
      </c>
      <c r="B15" s="9">
        <v>1.06222022633E10</v>
      </c>
      <c r="C15" s="9">
        <v>334.5</v>
      </c>
      <c r="D15" s="12">
        <f>IFERROR(__xludf.DUMMYFUNCTION("GOOGLEFINANCE(""NSE:""&amp;A15,""price"")"),334.0)</f>
        <v>334</v>
      </c>
      <c r="E15" s="13">
        <f>IFERROR(__xludf.DUMMYFUNCTION("IFERROR(AVERAGE(QUERY(SORT(GOOGLEFINANCE(""NSE:""&amp;A15,""price"",TODAY()-75,TODAY()),1,0),""select Col2 limit 50"")), """")"),349.62300000000005)</f>
        <v>349.623</v>
      </c>
      <c r="F15" s="13">
        <f>IFERROR(__xludf.DUMMYFUNCTION("IFERROR(AVERAGE(QUERY(SORT(GOOGLEFINANCE(""NSE:""&amp;A15,""price"",TODAY()-150,TODAY()),1,0),""select Col2 limit 100"")), """")"),348.64399999999995)</f>
        <v>348.644</v>
      </c>
      <c r="G15" s="13">
        <f>IFERROR(__xludf.DUMMYFUNCTION("IFERROR(AVERAGE(QUERY(SORT(GOOGLEFINANCE(""NSE:""&amp;A15,""price"",TODAY()-300,TODAY()),1,0),""select Col2 limit 200"")), """")"),357.19300000000004)</f>
        <v>357.193</v>
      </c>
      <c r="H15" s="15" t="str">
        <f t="shared" si="1"/>
        <v>In Bear Run</v>
      </c>
      <c r="I15" s="16">
        <f t="shared" si="2"/>
        <v>-6.493128365</v>
      </c>
      <c r="J15" s="7" t="str">
        <f>IFERROR(__xludf.DUMMYFUNCTION("IFERROR(IF(A15="""",""ENTER STOCK"",
  LET(
    raw_high, GOOGLEFINANCE(""NSE:"" &amp; A15, ""high"", TODAY()-365, TODAY()),
    high_date, IFERROR(TO_DATE(QUERY(raw_high, ""SELECT Col1 WHERE Col2 IS NOT NULL ORDER BY Col2 DESC LIMIT 1 LABEL Col1 ''"", 1))"&amp;", TODAY()-30),
    raw_data, IFERROR(GOOGLEFINANCE(""NSE:"" &amp; A15, ""close"", high_date, TODAY()), GOOGLEFINANCE(""NSE:"" &amp; A15,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5" s="7"/>
    </row>
    <row r="16">
      <c r="A16" s="8" t="s">
        <v>27</v>
      </c>
      <c r="B16" s="9">
        <v>1.0438955286E10</v>
      </c>
      <c r="C16" s="9">
        <v>3447.0</v>
      </c>
      <c r="D16" s="12">
        <f>IFERROR(__xludf.DUMMYFUNCTION("GOOGLEFINANCE(""NSE:""&amp;A16,""price"")"),3446.1)</f>
        <v>3446.1</v>
      </c>
      <c r="E16" s="13">
        <f>IFERROR(__xludf.DUMMYFUNCTION("IFERROR(AVERAGE(QUERY(SORT(GOOGLEFINANCE(""NSE:""&amp;A16,""price"",TODAY()-75,TODAY()),1,0),""select Col2 limit 50"")), """")"),3751.438)</f>
        <v>3751.438</v>
      </c>
      <c r="F16" s="13">
        <f>IFERROR(__xludf.DUMMYFUNCTION("IFERROR(AVERAGE(QUERY(SORT(GOOGLEFINANCE(""NSE:""&amp;A16,""price"",TODAY()-150,TODAY()),1,0),""select Col2 limit 100"")), """")"),3668.6049999999996)</f>
        <v>3668.605</v>
      </c>
      <c r="G16" s="13">
        <f>IFERROR(__xludf.DUMMYFUNCTION("IFERROR(AVERAGE(QUERY(SORT(GOOGLEFINANCE(""NSE:""&amp;A16,""price"",TODAY()-300,TODAY()),1,0),""select Col2 limit 200"")), """")"),3209.4934999999996)</f>
        <v>3209.4935</v>
      </c>
      <c r="H16" s="15" t="str">
        <f t="shared" si="1"/>
        <v>Unconfirmed</v>
      </c>
      <c r="I16" s="16">
        <f t="shared" si="2"/>
        <v>7.37208223</v>
      </c>
      <c r="J16" s="7" t="str">
        <f>IFERROR(__xludf.DUMMYFUNCTION("IFERROR(IF(A16="""",""ENTER STOCK"",
  LET(
    raw_high, GOOGLEFINANCE(""NSE:"" &amp; A16, ""high"", TODAY()-365, TODAY()),
    high_date, IFERROR(TO_DATE(QUERY(raw_high, ""SELECT Col1 WHERE Col2 IS NOT NULL ORDER BY Col2 DESC LIMIT 1 LABEL Col1 ''"", 1))"&amp;", TODAY()-30),
    raw_data, IFERROR(GOOGLEFINANCE(""NSE:"" &amp; A16, ""close"", high_date, TODAY()), GOOGLEFINANCE(""NSE:"" &amp; A16,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6" s="7"/>
    </row>
    <row r="17">
      <c r="A17" s="8" t="s">
        <v>28</v>
      </c>
      <c r="B17" s="9">
        <v>9.702316197E9</v>
      </c>
      <c r="C17" s="9">
        <v>19969.0</v>
      </c>
      <c r="D17" s="12">
        <f>IFERROR(__xludf.DUMMYFUNCTION("GOOGLEFINANCE(""NSE:""&amp;A17,""price"")"),19970.0)</f>
        <v>19970</v>
      </c>
      <c r="E17" s="13">
        <f>IFERROR(__xludf.DUMMYFUNCTION("IFERROR(AVERAGE(QUERY(SORT(GOOGLEFINANCE(""NSE:""&amp;A17,""price"",TODAY()-75,TODAY()),1,0),""select Col2 limit 50"")), """")"),18308.72)</f>
        <v>18308.72</v>
      </c>
      <c r="F17" s="13">
        <f>IFERROR(__xludf.DUMMYFUNCTION("IFERROR(AVERAGE(QUERY(SORT(GOOGLEFINANCE(""NSE:""&amp;A17,""price"",TODAY()-150,TODAY()),1,0),""select Col2 limit 100"")), """")"),16937.19)</f>
        <v>16937.19</v>
      </c>
      <c r="G17" s="13">
        <f>IFERROR(__xludf.DUMMYFUNCTION("IFERROR(AVERAGE(QUERY(SORT(GOOGLEFINANCE(""NSE:""&amp;A17,""price"",TODAY()-300,TODAY()),1,0),""select Col2 limit 200"")), """")"),15119.11)</f>
        <v>15119.11</v>
      </c>
      <c r="H17" s="15" t="str">
        <f t="shared" si="1"/>
        <v>Unconfirmed</v>
      </c>
      <c r="I17" s="16">
        <f t="shared" si="2"/>
        <v>32.08449439</v>
      </c>
      <c r="J17" s="7" t="str">
        <f>IFERROR(__xludf.DUMMYFUNCTION("IFERROR(IF(A17="""",""ENTER STOCK"",
  LET(
    raw_high, GOOGLEFINANCE(""NSE:"" &amp; A17, ""high"", TODAY()-365, TODAY()),
    high_date, IFERROR(TO_DATE(QUERY(raw_high, ""SELECT Col1 WHERE Col2 IS NOT NULL ORDER BY Col2 DESC LIMIT 1 LABEL Col1 ''"", 1))"&amp;", TODAY()-30),
    raw_data, IFERROR(GOOGLEFINANCE(""NSE:"" &amp; A17, ""close"", high_date, TODAY()), GOOGLEFINANCE(""NSE:"" &amp; A17,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7" s="7"/>
    </row>
    <row r="18">
      <c r="A18" s="8" t="s">
        <v>29</v>
      </c>
      <c r="B18" s="9">
        <v>9.67223829005E9</v>
      </c>
      <c r="C18" s="9">
        <v>318.5</v>
      </c>
      <c r="D18" s="12">
        <f>IFERROR(__xludf.DUMMYFUNCTION("GOOGLEFINANCE(""NSE:""&amp;A18,""price"")"),318.7)</f>
        <v>318.7</v>
      </c>
      <c r="E18" s="13">
        <f>IFERROR(__xludf.DUMMYFUNCTION("IFERROR(AVERAGE(QUERY(SORT(GOOGLEFINANCE(""NSE:""&amp;A18,""price"",TODAY()-75,TODAY()),1,0),""select Col2 limit 50"")), """")"),282.66999999999996)</f>
        <v>282.67</v>
      </c>
      <c r="F18" s="13">
        <f>IFERROR(__xludf.DUMMYFUNCTION("IFERROR(AVERAGE(QUERY(SORT(GOOGLEFINANCE(""NSE:""&amp;A18,""price"",TODAY()-150,TODAY()),1,0),""select Col2 limit 100"")), """")"),264.1177)</f>
        <v>264.1177</v>
      </c>
      <c r="G18" s="13">
        <f>IFERROR(__xludf.DUMMYFUNCTION("IFERROR(AVERAGE(QUERY(SORT(GOOGLEFINANCE(""NSE:""&amp;A18,""price"",TODAY()-300,TODAY()),1,0),""select Col2 limit 200"")), """")"),274.3526999999999)</f>
        <v>274.3527</v>
      </c>
      <c r="H18" s="15" t="str">
        <f t="shared" si="1"/>
        <v>Unconfirmed</v>
      </c>
      <c r="I18" s="16">
        <f t="shared" si="2"/>
        <v>16.16433882</v>
      </c>
      <c r="J18" s="7" t="str">
        <f>IFERROR(__xludf.DUMMYFUNCTION("IFERROR(IF(A18="""",""ENTER STOCK"",
  LET(
    raw_high, GOOGLEFINANCE(""NSE:"" &amp; A18, ""high"", TODAY()-365, TODAY()),
    high_date, IFERROR(TO_DATE(QUERY(raw_high, ""SELECT Col1 WHERE Col2 IS NOT NULL ORDER BY Col2 DESC LIMIT 1 LABEL Col1 ''"", 1))"&amp;", TODAY()-30),
    raw_data, IFERROR(GOOGLEFINANCE(""NSE:"" &amp; A18, ""close"", high_date, TODAY()), GOOGLEFINANCE(""NSE:"" &amp; A18,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8" s="7"/>
    </row>
    <row r="19">
      <c r="A19" s="8" t="s">
        <v>30</v>
      </c>
      <c r="B19" s="9">
        <v>8.79734635253E9</v>
      </c>
      <c r="C19" s="9">
        <v>311.15</v>
      </c>
      <c r="D19" s="12" t="str">
        <f>IFERROR(__xludf.DUMMYFUNCTION("GOOGLEFINANCE(""NSE:""&amp;A19,""price"")"),"#N/A")</f>
        <v>#N/A</v>
      </c>
      <c r="E19" s="13" t="str">
        <f>IFERROR(__xludf.DUMMYFUNCTION("IFERROR(AVERAGE(QUERY(SORT(GOOGLEFINANCE(""NSE:""&amp;A19,""price"",TODAY()-75,TODAY()),1,0),""select Col2 limit 50"")), """")"),"")</f>
        <v/>
      </c>
      <c r="F19" s="13" t="str">
        <f>IFERROR(__xludf.DUMMYFUNCTION("IFERROR(AVERAGE(QUERY(SORT(GOOGLEFINANCE(""NSE:""&amp;A19,""price"",TODAY()-150,TODAY()),1,0),""select Col2 limit 100"")), """")"),"")</f>
        <v/>
      </c>
      <c r="G19" s="13" t="str">
        <f>IFERROR(__xludf.DUMMYFUNCTION("IFERROR(AVERAGE(QUERY(SORT(GOOGLEFINANCE(""NSE:""&amp;A19,""price"",TODAY()-300,TODAY()),1,0),""select Col2 limit 200"")), """")"),"")</f>
        <v/>
      </c>
      <c r="H19" s="15" t="str">
        <f t="shared" si="1"/>
        <v>#N/A</v>
      </c>
      <c r="I19" s="16" t="str">
        <f t="shared" si="2"/>
        <v>#N/A</v>
      </c>
      <c r="J19" s="7" t="str">
        <f>IFERROR(__xludf.DUMMYFUNCTION("IFERROR(IF(A19="""",""ENTER STOCK"",
  LET(
    raw_high, GOOGLEFINANCE(""NSE:"" &amp; A19, ""high"", TODAY()-365, TODAY()),
    high_date, IFERROR(TO_DATE(QUERY(raw_high, ""SELECT Col1 WHERE Col2 IS NOT NULL ORDER BY Col2 DESC LIMIT 1 LABEL Col1 ''"", 1))"&amp;", TODAY()-30),
    raw_data, IFERROR(GOOGLEFINANCE(""NSE:"" &amp; A19, ""close"", high_date, TODAY()), GOOGLEFINANCE(""NSE:"" &amp; A19,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9" s="7"/>
    </row>
    <row r="20">
      <c r="A20" s="8" t="s">
        <v>31</v>
      </c>
      <c r="B20" s="9">
        <v>8.674904055E9</v>
      </c>
      <c r="C20" s="9">
        <v>5007.2</v>
      </c>
      <c r="D20" s="12">
        <f>IFERROR(__xludf.DUMMYFUNCTION("GOOGLEFINANCE(""NSE:""&amp;A20,""price"")"),5007.0)</f>
        <v>5007</v>
      </c>
      <c r="E20" s="13">
        <f>IFERROR(__xludf.DUMMYFUNCTION("IFERROR(AVERAGE(QUERY(SORT(GOOGLEFINANCE(""NSE:""&amp;A20,""price"",TODAY()-75,TODAY()),1,0),""select Col2 limit 50"")), """")"),4565.46)</f>
        <v>4565.46</v>
      </c>
      <c r="F20" s="13">
        <f>IFERROR(__xludf.DUMMYFUNCTION("IFERROR(AVERAGE(QUERY(SORT(GOOGLEFINANCE(""NSE:""&amp;A20,""price"",TODAY()-150,TODAY()),1,0),""select Col2 limit 100"")), """")"),4189.573000000001)</f>
        <v>4189.573</v>
      </c>
      <c r="G20" s="13">
        <f>IFERROR(__xludf.DUMMYFUNCTION("IFERROR(AVERAGE(QUERY(SORT(GOOGLEFINANCE(""NSE:""&amp;A20,""price"",TODAY()-300,TODAY()),1,0),""select Col2 limit 200"")), """")"),3758.6685000000025)</f>
        <v>3758.6685</v>
      </c>
      <c r="H20" s="15" t="str">
        <f t="shared" si="1"/>
        <v>Unconfirmed</v>
      </c>
      <c r="I20" s="16">
        <f t="shared" si="2"/>
        <v>33.21206699</v>
      </c>
      <c r="J20" s="7" t="str">
        <f>IFERROR(__xludf.DUMMYFUNCTION("IFERROR(IF(A20="""",""ENTER STOCK"",
  LET(
    raw_high, GOOGLEFINANCE(""NSE:"" &amp; A20, ""high"", TODAY()-365, TODAY()),
    high_date, IFERROR(TO_DATE(QUERY(raw_high, ""SELECT Col1 WHERE Col2 IS NOT NULL ORDER BY Col2 DESC LIMIT 1 LABEL Col1 ''"", 1))"&amp;", TODAY()-30),
    raw_data, IFERROR(GOOGLEFINANCE(""NSE:"" &amp; A20, ""close"", high_date, TODAY()), GOOGLEFINANCE(""NSE:"" &amp; A20,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0" s="7"/>
    </row>
    <row r="21">
      <c r="A21" s="8" t="s">
        <v>32</v>
      </c>
      <c r="B21" s="9">
        <v>8.5972213805E9</v>
      </c>
      <c r="C21" s="9">
        <v>1417.0</v>
      </c>
      <c r="D21" s="12">
        <f>IFERROR(__xludf.DUMMYFUNCTION("GOOGLEFINANCE(""NSE:""&amp;A21,""price"")"),1412.4)</f>
        <v>1412.4</v>
      </c>
      <c r="E21" s="13">
        <f>IFERROR(__xludf.DUMMYFUNCTION("IFERROR(AVERAGE(QUERY(SORT(GOOGLEFINANCE(""NSE:""&amp;A21,""price"",TODAY()-75,TODAY()),1,0),""select Col2 limit 50"")), """")"),1394.14)</f>
        <v>1394.14</v>
      </c>
      <c r="F21" s="13">
        <f>IFERROR(__xludf.DUMMYFUNCTION("IFERROR(AVERAGE(QUERY(SORT(GOOGLEFINANCE(""NSE:""&amp;A21,""price"",TODAY()-150,TODAY()),1,0),""select Col2 limit 100"")), """")"),1333.9650000000004)</f>
        <v>1333.965</v>
      </c>
      <c r="G21" s="13">
        <f>IFERROR(__xludf.DUMMYFUNCTION("IFERROR(AVERAGE(QUERY(SORT(GOOGLEFINANCE(""NSE:""&amp;A21,""price"",TODAY()-300,TODAY()),1,0),""select Col2 limit 200"")), """")"),1351.4594999999995)</f>
        <v>1351.4595</v>
      </c>
      <c r="H21" s="15" t="str">
        <f t="shared" si="1"/>
        <v>In Bull Run</v>
      </c>
      <c r="I21" s="16">
        <f t="shared" si="2"/>
        <v>4.509236126</v>
      </c>
      <c r="J21" s="7" t="str">
        <f>IFERROR(__xludf.DUMMYFUNCTION("IFERROR(IF(A21="""",""ENTER STOCK"",
  LET(
    raw_high, GOOGLEFINANCE(""NSE:"" &amp; A21, ""high"", TODAY()-365, TODAY()),
    high_date, IFERROR(TO_DATE(QUERY(raw_high, ""SELECT Col1 WHERE Col2 IS NOT NULL ORDER BY Col2 DESC LIMIT 1 LABEL Col1 ''"", 1))"&amp;", TODAY()-30),
    raw_data, IFERROR(GOOGLEFINANCE(""NSE:"" &amp; A21, ""close"", high_date, TODAY()), GOOGLEFINANCE(""NSE:"" &amp; A21,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1" s="7"/>
    </row>
    <row r="22">
      <c r="A22" s="8" t="s">
        <v>33</v>
      </c>
      <c r="B22" s="9">
        <v>7.6703479282E9</v>
      </c>
      <c r="C22" s="9">
        <v>5029.9</v>
      </c>
      <c r="D22" s="12">
        <f>IFERROR(__xludf.DUMMYFUNCTION("GOOGLEFINANCE(""NSE:""&amp;A22,""price"")"),5015.8)</f>
        <v>5015.8</v>
      </c>
      <c r="E22" s="13">
        <f>IFERROR(__xludf.DUMMYFUNCTION("IFERROR(AVERAGE(QUERY(SORT(GOOGLEFINANCE(""NSE:""&amp;A22,""price"",TODAY()-75,TODAY()),1,0),""select Col2 limit 50"")), """")"),4515.134)</f>
        <v>4515.134</v>
      </c>
      <c r="F22" s="13">
        <f>IFERROR(__xludf.DUMMYFUNCTION("IFERROR(AVERAGE(QUERY(SORT(GOOGLEFINANCE(""NSE:""&amp;A22,""price"",TODAY()-150,TODAY()),1,0),""select Col2 limit 100"")), """")"),4370.802000000001)</f>
        <v>4370.802</v>
      </c>
      <c r="G22" s="13">
        <f>IFERROR(__xludf.DUMMYFUNCTION("IFERROR(AVERAGE(QUERY(SORT(GOOGLEFINANCE(""NSE:""&amp;A22,""price"",TODAY()-300,TODAY()),1,0),""select Col2 limit 200"")), """")"),4371.6465)</f>
        <v>4371.6465</v>
      </c>
      <c r="H22" s="15" t="str">
        <f t="shared" si="1"/>
        <v>Unconfirmed</v>
      </c>
      <c r="I22" s="16">
        <f t="shared" si="2"/>
        <v>14.73480301</v>
      </c>
      <c r="J22" s="7" t="str">
        <f>IFERROR(__xludf.DUMMYFUNCTION("IFERROR(IF(A22="""",""ENTER STOCK"",
  LET(
    raw_high, GOOGLEFINANCE(""NSE:"" &amp; A22, ""high"", TODAY()-365, TODAY()),
    high_date, IFERROR(TO_DATE(QUERY(raw_high, ""SELECT Col1 WHERE Col2 IS NOT NULL ORDER BY Col2 DESC LIMIT 1 LABEL Col1 ''"", 1))"&amp;", TODAY()-30),
    raw_data, IFERROR(GOOGLEFINANCE(""NSE:"" &amp; A22, ""close"", high_date, TODAY()), GOOGLEFINANCE(""NSE:"" &amp; A22,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2" s="7"/>
    </row>
    <row r="23">
      <c r="A23" s="8" t="s">
        <v>34</v>
      </c>
      <c r="B23" s="9">
        <v>7.55255873253E9</v>
      </c>
      <c r="C23" s="9">
        <v>293.88</v>
      </c>
      <c r="D23" s="12">
        <f>IFERROR(__xludf.DUMMYFUNCTION("GOOGLEFINANCE(""NSE:""&amp;A23,""price"")"),293.0)</f>
        <v>293</v>
      </c>
      <c r="E23" s="13">
        <f>IFERROR(__xludf.DUMMYFUNCTION("IFERROR(AVERAGE(QUERY(SORT(GOOGLEFINANCE(""NSE:""&amp;A23,""price"",TODAY()-75,TODAY()),1,0),""select Col2 limit 50"")), """")"),207.99520000000004)</f>
        <v>207.9952</v>
      </c>
      <c r="F23" s="13">
        <f>IFERROR(__xludf.DUMMYFUNCTION("IFERROR(AVERAGE(QUERY(SORT(GOOGLEFINANCE(""NSE:""&amp;A23,""price"",TODAY()-150,TODAY()),1,0),""select Col2 limit 100"")), """")"),158.83710000000002)</f>
        <v>158.8371</v>
      </c>
      <c r="G23" s="13">
        <f>IFERROR(__xludf.DUMMYFUNCTION("IFERROR(AVERAGE(QUERY(SORT(GOOGLEFINANCE(""NSE:""&amp;A23,""price"",TODAY()-300,TODAY()),1,0),""select Col2 limit 200"")), """")"),117.76215000000003)</f>
        <v>117.76215</v>
      </c>
      <c r="H23" s="15" t="str">
        <f t="shared" si="1"/>
        <v>Unconfirmed</v>
      </c>
      <c r="I23" s="16">
        <f t="shared" si="2"/>
        <v>148.8065987</v>
      </c>
      <c r="J23" s="7" t="str">
        <f>IFERROR(__xludf.DUMMYFUNCTION("IFERROR(IF(A23="""",""ENTER STOCK"",
  LET(
    raw_high, GOOGLEFINANCE(""NSE:"" &amp; A23, ""high"", TODAY()-365, TODAY()),
    high_date, IFERROR(TO_DATE(QUERY(raw_high, ""SELECT Col1 WHERE Col2 IS NOT NULL ORDER BY Col2 DESC LIMIT 1 LABEL Col1 ''"", 1))"&amp;", TODAY()-30),
    raw_data, IFERROR(GOOGLEFINANCE(""NSE:"" &amp; A23, ""close"", high_date, TODAY()), GOOGLEFINANCE(""NSE:"" &amp; A23,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3" s="7"/>
    </row>
    <row r="24">
      <c r="A24" s="8" t="s">
        <v>35</v>
      </c>
      <c r="B24" s="9">
        <v>6.84765767388E9</v>
      </c>
      <c r="C24" s="9">
        <v>171.64</v>
      </c>
      <c r="D24" s="12">
        <f>IFERROR(__xludf.DUMMYFUNCTION("GOOGLEFINANCE(""NSE:""&amp;A24,""price"")"),172.6)</f>
        <v>172.6</v>
      </c>
      <c r="E24" s="13">
        <f>IFERROR(__xludf.DUMMYFUNCTION("IFERROR(AVERAGE(QUERY(SORT(GOOGLEFINANCE(""NSE:""&amp;A24,""price"",TODAY()-75,TODAY()),1,0),""select Col2 limit 50"")), """")"),159.48479999999998)</f>
        <v>159.4848</v>
      </c>
      <c r="F24" s="13">
        <f>IFERROR(__xludf.DUMMYFUNCTION("IFERROR(AVERAGE(QUERY(SORT(GOOGLEFINANCE(""NSE:""&amp;A24,""price"",TODAY()-150,TODAY()),1,0),""select Col2 limit 100"")), """")"),160.94939999999994)</f>
        <v>160.9494</v>
      </c>
      <c r="G24" s="13">
        <f>IFERROR(__xludf.DUMMYFUNCTION("IFERROR(AVERAGE(QUERY(SORT(GOOGLEFINANCE(""NSE:""&amp;A24,""price"",TODAY()-300,TODAY()),1,0),""select Col2 limit 200"")), """")"),168.3956999999999)</f>
        <v>168.3957</v>
      </c>
      <c r="H24" s="15" t="str">
        <f t="shared" si="1"/>
        <v>In Bull Run</v>
      </c>
      <c r="I24" s="16">
        <f t="shared" si="2"/>
        <v>2.496678953</v>
      </c>
      <c r="J24" s="7" t="str">
        <f>IFERROR(__xludf.DUMMYFUNCTION("IFERROR(IF(A24="""",""ENTER STOCK"",
  LET(
    raw_high, GOOGLEFINANCE(""NSE:"" &amp; A24, ""high"", TODAY()-365, TODAY()),
    high_date, IFERROR(TO_DATE(QUERY(raw_high, ""SELECT Col1 WHERE Col2 IS NOT NULL ORDER BY Col2 DESC LIMIT 1 LABEL Col1 ''"", 1))"&amp;", TODAY()-30),
    raw_data, IFERROR(GOOGLEFINANCE(""NSE:"" &amp; A24, ""close"", high_date, TODAY()), GOOGLEFINANCE(""NSE:"" &amp; A24,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24" s="7"/>
    </row>
    <row r="25">
      <c r="A25" s="8" t="s">
        <v>36</v>
      </c>
      <c r="B25" s="9">
        <v>6.8204538915E9</v>
      </c>
      <c r="C25" s="9">
        <v>1169.2</v>
      </c>
      <c r="D25" s="12">
        <f>IFERROR(__xludf.DUMMYFUNCTION("GOOGLEFINANCE(""NSE:""&amp;A25,""price"")"),1169.2)</f>
        <v>1169.2</v>
      </c>
      <c r="E25" s="13">
        <f>IFERROR(__xludf.DUMMYFUNCTION("IFERROR(AVERAGE(QUERY(SORT(GOOGLEFINANCE(""NSE:""&amp;A25,""price"",TODAY()-75,TODAY()),1,0),""select Col2 limit 50"")), """")"),1105.8980000000001)</f>
        <v>1105.898</v>
      </c>
      <c r="F25" s="13">
        <f>IFERROR(__xludf.DUMMYFUNCTION("IFERROR(AVERAGE(QUERY(SORT(GOOGLEFINANCE(""NSE:""&amp;A25,""price"",TODAY()-150,TODAY()),1,0),""select Col2 limit 100"")), """")"),1164.3280000000004)</f>
        <v>1164.328</v>
      </c>
      <c r="G25" s="13">
        <f>IFERROR(__xludf.DUMMYFUNCTION("IFERROR(AVERAGE(QUERY(SORT(GOOGLEFINANCE(""NSE:""&amp;A25,""price"",TODAY()-300,TODAY()),1,0),""select Col2 limit 200"")), """")"),1340.0715000000002)</f>
        <v>1340.0715</v>
      </c>
      <c r="H25" s="15" t="str">
        <f t="shared" si="1"/>
        <v>Unconfirmed</v>
      </c>
      <c r="I25" s="16">
        <f t="shared" si="2"/>
        <v>-12.75092411</v>
      </c>
      <c r="J25" s="7" t="str">
        <f>IFERROR(__xludf.DUMMYFUNCTION("IFERROR(IF(A25="""",""ENTER STOCK"",
  LET(
    raw_high, GOOGLEFINANCE(""NSE:"" &amp; A25, ""high"", TODAY()-365, TODAY()),
    high_date, IFERROR(TO_DATE(QUERY(raw_high, ""SELECT Col1 WHERE Col2 IS NOT NULL ORDER BY Col2 DESC LIMIT 1 LABEL Col1 ''"", 1))"&amp;", TODAY()-30),
    raw_data, IFERROR(GOOGLEFINANCE(""NSE:"" &amp; A25, ""close"", high_date, TODAY()), GOOGLEFINANCE(""NSE:"" &amp; A25,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5" s="7"/>
    </row>
    <row r="26">
      <c r="A26" s="8" t="s">
        <v>37</v>
      </c>
      <c r="B26" s="9">
        <v>6.7460220913E9</v>
      </c>
      <c r="C26" s="9">
        <v>1217.4</v>
      </c>
      <c r="D26" s="12">
        <f>IFERROR(__xludf.DUMMYFUNCTION("GOOGLEFINANCE(""NSE:""&amp;A26,""price"")"),1216.0)</f>
        <v>1216</v>
      </c>
      <c r="E26" s="13">
        <f>IFERROR(__xludf.DUMMYFUNCTION("IFERROR(AVERAGE(QUERY(SORT(GOOGLEFINANCE(""NSE:""&amp;A26,""price"",TODAY()-75,TODAY()),1,0),""select Col2 limit 50"")), """")"),1297.12)</f>
        <v>1297.12</v>
      </c>
      <c r="F26" s="13">
        <f>IFERROR(__xludf.DUMMYFUNCTION("IFERROR(AVERAGE(QUERY(SORT(GOOGLEFINANCE(""NSE:""&amp;A26,""price"",TODAY()-150,TODAY()),1,0),""select Col2 limit 100"")), """")"),1287.2960000000003)</f>
        <v>1287.296</v>
      </c>
      <c r="G26" s="13">
        <f>IFERROR(__xludf.DUMMYFUNCTION("IFERROR(AVERAGE(QUERY(SORT(GOOGLEFINANCE(""NSE:""&amp;A26,""price"",TODAY()-300,TODAY()),1,0),""select Col2 limit 200"")), """")"),1286.4559999999997)</f>
        <v>1286.456</v>
      </c>
      <c r="H26" s="15" t="str">
        <f t="shared" si="1"/>
        <v>In Bear Run</v>
      </c>
      <c r="I26" s="16">
        <f t="shared" si="2"/>
        <v>-5.476751634</v>
      </c>
      <c r="J26" s="7" t="str">
        <f>IFERROR(__xludf.DUMMYFUNCTION("IFERROR(IF(A26="""",""ENTER STOCK"",
  LET(
    raw_high, GOOGLEFINANCE(""NSE:"" &amp; A26, ""high"", TODAY()-365, TODAY()),
    high_date, IFERROR(TO_DATE(QUERY(raw_high, ""SELECT Col1 WHERE Col2 IS NOT NULL ORDER BY Col2 DESC LIMIT 1 LABEL Col1 ''"", 1))"&amp;", TODAY()-30),
    raw_data, IFERROR(GOOGLEFINANCE(""NSE:"" &amp; A26, ""close"", high_date, TODAY()), GOOGLEFINANCE(""NSE:"" &amp; A26,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6" s="7"/>
    </row>
    <row r="27">
      <c r="A27" s="8" t="s">
        <v>38</v>
      </c>
      <c r="B27" s="9">
        <v>6.7102668281E9</v>
      </c>
      <c r="C27" s="9">
        <v>1067.7</v>
      </c>
      <c r="D27" s="12">
        <f>IFERROR(__xludf.DUMMYFUNCTION("GOOGLEFINANCE(""NSE:""&amp;A27,""price"")"),1065.5)</f>
        <v>1065.5</v>
      </c>
      <c r="E27" s="13">
        <f>IFERROR(__xludf.DUMMYFUNCTION("IFERROR(AVERAGE(QUERY(SORT(GOOGLEFINANCE(""NSE:""&amp;A27,""price"",TODAY()-75,TODAY()),1,0),""select Col2 limit 50"")), """")"),1034.629)</f>
        <v>1034.629</v>
      </c>
      <c r="F27" s="13">
        <f>IFERROR(__xludf.DUMMYFUNCTION("IFERROR(AVERAGE(QUERY(SORT(GOOGLEFINANCE(""NSE:""&amp;A27,""price"",TODAY()-150,TODAY()),1,0),""select Col2 limit 100"")), """")"),1030.5524999999998)</f>
        <v>1030.5525</v>
      </c>
      <c r="G27" s="13">
        <f>IFERROR(__xludf.DUMMYFUNCTION("IFERROR(AVERAGE(QUERY(SORT(GOOGLEFINANCE(""NSE:""&amp;A27,""price"",TODAY()-300,TODAY()),1,0),""select Col2 limit 200"")), """")"),1031.8182499999998)</f>
        <v>1031.81825</v>
      </c>
      <c r="H27" s="15" t="str">
        <f t="shared" si="1"/>
        <v>In Bull Run</v>
      </c>
      <c r="I27" s="16">
        <f t="shared" si="2"/>
        <v>3.264310357</v>
      </c>
      <c r="J27" s="7" t="str">
        <f>IFERROR(__xludf.DUMMYFUNCTION("IFERROR(IF(A27="""",""ENTER STOCK"",
  LET(
    raw_high, GOOGLEFINANCE(""NSE:"" &amp; A27, ""high"", TODAY()-365, TODAY()),
    high_date, IFERROR(TO_DATE(QUERY(raw_high, ""SELECT Col1 WHERE Col2 IS NOT NULL ORDER BY Col2 DESC LIMIT 1 LABEL Col1 ''"", 1))"&amp;", TODAY()-30),
    raw_data, IFERROR(GOOGLEFINANCE(""NSE:"" &amp; A27, ""close"", high_date, TODAY()), GOOGLEFINANCE(""NSE:"" &amp; A27,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27" s="7"/>
    </row>
    <row r="28">
      <c r="A28" s="8" t="s">
        <v>39</v>
      </c>
      <c r="B28" s="9">
        <v>6.68467525071E9</v>
      </c>
      <c r="C28" s="9">
        <v>16.75</v>
      </c>
      <c r="D28" s="12">
        <f>IFERROR(__xludf.DUMMYFUNCTION("GOOGLEFINANCE(""NSE:""&amp;A28,""price"")"),16.72)</f>
        <v>16.72</v>
      </c>
      <c r="E28" s="13">
        <f>IFERROR(__xludf.DUMMYFUNCTION("IFERROR(AVERAGE(QUERY(SORT(GOOGLEFINANCE(""NSE:""&amp;A28,""price"",TODAY()-75,TODAY()),1,0),""select Col2 limit 50"")), """")"),14.048599999999999)</f>
        <v>14.0486</v>
      </c>
      <c r="F28" s="13">
        <f>IFERROR(__xludf.DUMMYFUNCTION("IFERROR(AVERAGE(QUERY(SORT(GOOGLEFINANCE(""NSE:""&amp;A28,""price"",TODAY()-150,TODAY()),1,0),""select Col2 limit 100"")), """")"),13.3751)</f>
        <v>13.3751</v>
      </c>
      <c r="G28" s="13">
        <f>IFERROR(__xludf.DUMMYFUNCTION("IFERROR(AVERAGE(QUERY(SORT(GOOGLEFINANCE(""NSE:""&amp;A28,""price"",TODAY()-300,TODAY()),1,0),""select Col2 limit 200"")), """")"),14.202449999999999)</f>
        <v>14.20245</v>
      </c>
      <c r="H28" s="15" t="str">
        <f t="shared" si="1"/>
        <v>Unconfirmed</v>
      </c>
      <c r="I28" s="16">
        <f t="shared" si="2"/>
        <v>17.72616696</v>
      </c>
      <c r="J28" s="7" t="str">
        <f>IFERROR(__xludf.DUMMYFUNCTION("IFERROR(IF(A28="""",""ENTER STOCK"",
  LET(
    raw_high, GOOGLEFINANCE(""NSE:"" &amp; A28, ""high"", TODAY()-365, TODAY()),
    high_date, IFERROR(TO_DATE(QUERY(raw_high, ""SELECT Col1 WHERE Col2 IS NOT NULL ORDER BY Col2 DESC LIMIT 1 LABEL Col1 ''"", 1))"&amp;", TODAY()-30),
    raw_data, IFERROR(GOOGLEFINANCE(""NSE:"" &amp; A28, ""close"", high_date, TODAY()), GOOGLEFINANCE(""NSE:"" &amp; A28,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8" s="7"/>
    </row>
    <row r="29">
      <c r="A29" s="8" t="s">
        <v>40</v>
      </c>
      <c r="B29" s="9">
        <v>6.5863334996E9</v>
      </c>
      <c r="C29" s="9">
        <v>333.0</v>
      </c>
      <c r="D29" s="12">
        <f>IFERROR(__xludf.DUMMYFUNCTION("GOOGLEFINANCE(""NSE:""&amp;A29,""price"")"),335.85)</f>
        <v>335.85</v>
      </c>
      <c r="E29" s="13">
        <f>IFERROR(__xludf.DUMMYFUNCTION("IFERROR(AVERAGE(QUERY(SORT(GOOGLEFINANCE(""NSE:""&amp;A29,""price"",TODAY()-75,TODAY()),1,0),""select Col2 limit 50"")), """")"),264.31160000000006)</f>
        <v>264.3116</v>
      </c>
      <c r="F29" s="13">
        <f>IFERROR(__xludf.DUMMYFUNCTION("IFERROR(AVERAGE(QUERY(SORT(GOOGLEFINANCE(""NSE:""&amp;A29,""price"",TODAY()-150,TODAY()),1,0),""select Col2 limit 100"")), """")"),229.33870000000002)</f>
        <v>229.3387</v>
      </c>
      <c r="G29" s="13">
        <f>IFERROR(__xludf.DUMMYFUNCTION("IFERROR(AVERAGE(QUERY(SORT(GOOGLEFINANCE(""NSE:""&amp;A29,""price"",TODAY()-300,TODAY()),1,0),""select Col2 limit 200"")), """")"),204.87425000000002)</f>
        <v>204.87425</v>
      </c>
      <c r="H29" s="15" t="str">
        <f t="shared" si="1"/>
        <v>Unconfirmed</v>
      </c>
      <c r="I29" s="16">
        <f t="shared" si="2"/>
        <v>63.92982525</v>
      </c>
      <c r="J29" s="7" t="str">
        <f>IFERROR(__xludf.DUMMYFUNCTION("IFERROR(IF(A29="""",""ENTER STOCK"",
  LET(
    raw_high, GOOGLEFINANCE(""NSE:"" &amp; A29, ""high"", TODAY()-365, TODAY()),
    high_date, IFERROR(TO_DATE(QUERY(raw_high, ""SELECT Col1 WHERE Col2 IS NOT NULL ORDER BY Col2 DESC LIMIT 1 LABEL Col1 ''"", 1))"&amp;", TODAY()-30),
    raw_data, IFERROR(GOOGLEFINANCE(""NSE:"" &amp; A29, ""close"", high_date, TODAY()), GOOGLEFINANCE(""NSE:"" &amp; A29,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9" s="7"/>
    </row>
    <row r="30">
      <c r="A30" s="8" t="s">
        <v>41</v>
      </c>
      <c r="B30" s="9">
        <v>6.57375997365E9</v>
      </c>
      <c r="C30" s="9">
        <v>504.1</v>
      </c>
      <c r="D30" s="12">
        <f>IFERROR(__xludf.DUMMYFUNCTION("GOOGLEFINANCE(""NSE:""&amp;A30,""price"")"),504.45)</f>
        <v>504.45</v>
      </c>
      <c r="E30" s="13">
        <f>IFERROR(__xludf.DUMMYFUNCTION("IFERROR(AVERAGE(QUERY(SORT(GOOGLEFINANCE(""NSE:""&amp;A30,""price"",TODAY()-75,TODAY()),1,0),""select Col2 limit 50"")), """")"),437.744)</f>
        <v>437.744</v>
      </c>
      <c r="F30" s="13">
        <f>IFERROR(__xludf.DUMMYFUNCTION("IFERROR(AVERAGE(QUERY(SORT(GOOGLEFINANCE(""NSE:""&amp;A30,""price"",TODAY()-150,TODAY()),1,0),""select Col2 limit 100"")), """")"),446.0584999999999)</f>
        <v>446.0585</v>
      </c>
      <c r="G30" s="13">
        <f>IFERROR(__xludf.DUMMYFUNCTION("IFERROR(AVERAGE(QUERY(SORT(GOOGLEFINANCE(""NSE:""&amp;A30,""price"",TODAY()-300,TODAY()),1,0),""select Col2 limit 200"")), """")"),497.9235)</f>
        <v>497.9235</v>
      </c>
      <c r="H30" s="15" t="str">
        <f t="shared" si="1"/>
        <v>In Bull Run</v>
      </c>
      <c r="I30" s="16">
        <f t="shared" si="2"/>
        <v>1.310743518</v>
      </c>
      <c r="J30" s="7" t="str">
        <f>IFERROR(__xludf.DUMMYFUNCTION("IFERROR(IF(A30="""",""ENTER STOCK"",
  LET(
    raw_high, GOOGLEFINANCE(""NSE:"" &amp; A30, ""high"", TODAY()-365, TODAY()),
    high_date, IFERROR(TO_DATE(QUERY(raw_high, ""SELECT Col1 WHERE Col2 IS NOT NULL ORDER BY Col2 DESC LIMIT 1 LABEL Col1 ''"", 1))"&amp;", TODAY()-30),
    raw_data, IFERROR(GOOGLEFINANCE(""NSE:"" &amp; A30, ""close"", high_date, TODAY()), GOOGLEFINANCE(""NSE:"" &amp; A30,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30" s="7"/>
    </row>
    <row r="31">
      <c r="A31" s="8" t="s">
        <v>42</v>
      </c>
      <c r="B31" s="9">
        <v>6.19129884795E9</v>
      </c>
      <c r="C31" s="9">
        <v>413.5</v>
      </c>
      <c r="D31" s="12">
        <f>IFERROR(__xludf.DUMMYFUNCTION("GOOGLEFINANCE(""NSE:""&amp;A31,""price"")"),412.8)</f>
        <v>412.8</v>
      </c>
      <c r="E31" s="13">
        <f>IFERROR(__xludf.DUMMYFUNCTION("IFERROR(AVERAGE(QUERY(SORT(GOOGLEFINANCE(""NSE:""&amp;A31,""price"",TODAY()-75,TODAY()),1,0),""select Col2 limit 50"")), """")"),420.8930000000002)</f>
        <v>420.893</v>
      </c>
      <c r="F31" s="13">
        <f>IFERROR(__xludf.DUMMYFUNCTION("IFERROR(AVERAGE(QUERY(SORT(GOOGLEFINANCE(""NSE:""&amp;A31,""price"",TODAY()-150,TODAY()),1,0),""select Col2 limit 100"")), """")"),409.9517000000003)</f>
        <v>409.9517</v>
      </c>
      <c r="G31" s="13">
        <f>IFERROR(__xludf.DUMMYFUNCTION("IFERROR(AVERAGE(QUERY(SORT(GOOGLEFINANCE(""NSE:""&amp;A31,""price"",TODAY()-300,TODAY()),1,0),""select Col2 limit 200"")), """")"),419.88649999999996)</f>
        <v>419.8865</v>
      </c>
      <c r="H31" s="15" t="str">
        <f t="shared" si="1"/>
        <v>Unconfirmed</v>
      </c>
      <c r="I31" s="16">
        <f t="shared" si="2"/>
        <v>-1.68771799</v>
      </c>
      <c r="J31" s="7" t="str">
        <f>IFERROR(__xludf.DUMMYFUNCTION("IFERROR(IF(A31="""",""ENTER STOCK"",
  LET(
    raw_high, GOOGLEFINANCE(""NSE:"" &amp; A31, ""high"", TODAY()-365, TODAY()),
    high_date, IFERROR(TO_DATE(QUERY(raw_high, ""SELECT Col1 WHERE Col2 IS NOT NULL ORDER BY Col2 DESC LIMIT 1 LABEL Col1 ''"", 1))"&amp;", TODAY()-30),
    raw_data, IFERROR(GOOGLEFINANCE(""NSE:"" &amp; A31, ""close"", high_date, TODAY()), GOOGLEFINANCE(""NSE:"" &amp; A31,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31" s="7"/>
    </row>
    <row r="32">
      <c r="A32" s="8" t="s">
        <v>43</v>
      </c>
      <c r="B32" s="9">
        <v>6.1289573379E9</v>
      </c>
      <c r="C32" s="9">
        <v>1538.1</v>
      </c>
      <c r="D32" s="12">
        <f>IFERROR(__xludf.DUMMYFUNCTION("GOOGLEFINANCE(""NSE:""&amp;A32,""price"")"),1547.8)</f>
        <v>1547.8</v>
      </c>
      <c r="E32" s="13">
        <f>IFERROR(__xludf.DUMMYFUNCTION("IFERROR(AVERAGE(QUERY(SORT(GOOGLEFINANCE(""NSE:""&amp;A32,""price"",TODAY()-75,TODAY()),1,0),""select Col2 limit 50"")), """")"),1573.7420000000004)</f>
        <v>1573.742</v>
      </c>
      <c r="F32" s="13">
        <f>IFERROR(__xludf.DUMMYFUNCTION("IFERROR(AVERAGE(QUERY(SORT(GOOGLEFINANCE(""NSE:""&amp;A32,""price"",TODAY()-150,TODAY()),1,0),""select Col2 limit 100"")), """")"),1595.6729999999998)</f>
        <v>1595.673</v>
      </c>
      <c r="G32" s="13">
        <f>IFERROR(__xludf.DUMMYFUNCTION("IFERROR(AVERAGE(QUERY(SORT(GOOGLEFINANCE(""NSE:""&amp;A32,""price"",TODAY()-300,TODAY()),1,0),""select Col2 limit 200"")), """")"),1641.1700000000003)</f>
        <v>1641.17</v>
      </c>
      <c r="H32" s="15" t="str">
        <f t="shared" si="1"/>
        <v>In Bear Run</v>
      </c>
      <c r="I32" s="16">
        <f t="shared" si="2"/>
        <v>-5.6892339</v>
      </c>
      <c r="J32" s="7" t="str">
        <f>IFERROR(__xludf.DUMMYFUNCTION("IFERROR(IF(A32="""",""ENTER STOCK"",
  LET(
    raw_high, GOOGLEFINANCE(""NSE:"" &amp; A32, ""high"", TODAY()-365, TODAY()),
    high_date, IFERROR(TO_DATE(QUERY(raw_high, ""SELECT Col1 WHERE Col2 IS NOT NULL ORDER BY Col2 DESC LIMIT 1 LABEL Col1 ''"", 1))"&amp;", TODAY()-30),
    raw_data, IFERROR(GOOGLEFINANCE(""NSE:"" &amp; A32, ""close"", high_date, TODAY()), GOOGLEFINANCE(""NSE:"" &amp; A32,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32" s="7"/>
    </row>
    <row r="33">
      <c r="A33" s="8" t="s">
        <v>44</v>
      </c>
      <c r="B33" s="9">
        <v>5.66960589915E9</v>
      </c>
      <c r="C33" s="9">
        <v>376.0</v>
      </c>
      <c r="D33" s="12">
        <f>IFERROR(__xludf.DUMMYFUNCTION("GOOGLEFINANCE(""NSE:""&amp;A33,""price"")"),375.95)</f>
        <v>375.95</v>
      </c>
      <c r="E33" s="13">
        <f>IFERROR(__xludf.DUMMYFUNCTION("IFERROR(AVERAGE(QUERY(SORT(GOOGLEFINANCE(""NSE:""&amp;A33,""price"",TODAY()-75,TODAY()),1,0),""select Col2 limit 50"")), """")"),361.47900000000004)</f>
        <v>361.479</v>
      </c>
      <c r="F33" s="13">
        <f>IFERROR(__xludf.DUMMYFUNCTION("IFERROR(AVERAGE(QUERY(SORT(GOOGLEFINANCE(""NSE:""&amp;A33,""price"",TODAY()-150,TODAY()),1,0),""select Col2 limit 100"")), """")"),385.51400000000007)</f>
        <v>385.514</v>
      </c>
      <c r="G33" s="13">
        <f>IFERROR(__xludf.DUMMYFUNCTION("IFERROR(AVERAGE(QUERY(SORT(GOOGLEFINANCE(""NSE:""&amp;A33,""price"",TODAY()-300,TODAY()),1,0),""select Col2 limit 200"")), """")"),351.10510000000016)</f>
        <v>351.1051</v>
      </c>
      <c r="H33" s="15" t="str">
        <f t="shared" si="1"/>
        <v>Unconfirmed</v>
      </c>
      <c r="I33" s="16">
        <f t="shared" si="2"/>
        <v>7.07620026</v>
      </c>
      <c r="J33" s="7" t="str">
        <f>IFERROR(__xludf.DUMMYFUNCTION("IFERROR(IF(A33="""",""ENTER STOCK"",
  LET(
    raw_high, GOOGLEFINANCE(""NSE:"" &amp; A33, ""high"", TODAY()-365, TODAY()),
    high_date, IFERROR(TO_DATE(QUERY(raw_high, ""SELECT Col1 WHERE Col2 IS NOT NULL ORDER BY Col2 DESC LIMIT 1 LABEL Col1 ''"", 1))"&amp;", TODAY()-30),
    raw_data, IFERROR(GOOGLEFINANCE(""NSE:"" &amp; A33, ""close"", high_date, TODAY()), GOOGLEFINANCE(""NSE:"" &amp; A33,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33" s="7"/>
    </row>
    <row r="34">
      <c r="A34" s="8" t="s">
        <v>45</v>
      </c>
      <c r="B34" s="9">
        <v>5.5153167518E9</v>
      </c>
      <c r="C34" s="9">
        <v>1632.8</v>
      </c>
      <c r="D34" s="12">
        <f>IFERROR(__xludf.DUMMYFUNCTION("GOOGLEFINANCE(""NSE:""&amp;A34,""price"")"),1632.8)</f>
        <v>1632.8</v>
      </c>
      <c r="E34" s="13">
        <f>IFERROR(__xludf.DUMMYFUNCTION("IFERROR(AVERAGE(QUERY(SORT(GOOGLEFINANCE(""NSE:""&amp;A34,""price"",TODAY()-75,TODAY()),1,0),""select Col2 limit 50"")), """")"),1519.0)</f>
        <v>1519</v>
      </c>
      <c r="F34" s="13">
        <f>IFERROR(__xludf.DUMMYFUNCTION("IFERROR(AVERAGE(QUERY(SORT(GOOGLEFINANCE(""NSE:""&amp;A34,""price"",TODAY()-150,TODAY()),1,0),""select Col2 limit 100"")), """")"),1480.3229999999999)</f>
        <v>1480.323</v>
      </c>
      <c r="G34" s="13">
        <f>IFERROR(__xludf.DUMMYFUNCTION("IFERROR(AVERAGE(QUERY(SORT(GOOGLEFINANCE(""NSE:""&amp;A34,""price"",TODAY()-300,TODAY()),1,0),""select Col2 limit 200"")), """")"),1502.6554999999998)</f>
        <v>1502.6555</v>
      </c>
      <c r="H34" s="15" t="str">
        <f t="shared" si="1"/>
        <v>In Bull Run</v>
      </c>
      <c r="I34" s="16">
        <f t="shared" si="2"/>
        <v>8.660967201</v>
      </c>
      <c r="J34" s="7" t="str">
        <f>IFERROR(__xludf.DUMMYFUNCTION("IFERROR(IF(A34="""",""ENTER STOCK"",
  LET(
    raw_high, GOOGLEFINANCE(""NSE:"" &amp; A34, ""high"", TODAY()-365, TODAY()),
    high_date, IFERROR(TO_DATE(QUERY(raw_high, ""SELECT Col1 WHERE Col2 IS NOT NULL ORDER BY Col2 DESC LIMIT 1 LABEL Col1 ''"", 1))"&amp;", TODAY()-30),
    raw_data, IFERROR(GOOGLEFINANCE(""NSE:"" &amp; A34, ""close"", high_date, TODAY()), GOOGLEFINANCE(""NSE:"" &amp; A34,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34" s="7"/>
    </row>
    <row r="35">
      <c r="A35" s="8" t="s">
        <v>46</v>
      </c>
      <c r="B35" s="9">
        <v>5.41936904E9</v>
      </c>
      <c r="C35" s="9">
        <v>7222.0</v>
      </c>
      <c r="D35" s="12">
        <f>IFERROR(__xludf.DUMMYFUNCTION("GOOGLEFINANCE(""NSE:""&amp;A35,""price"")"),7224.0)</f>
        <v>7224</v>
      </c>
      <c r="E35" s="13">
        <f>IFERROR(__xludf.DUMMYFUNCTION("IFERROR(AVERAGE(QUERY(SORT(GOOGLEFINANCE(""NSE:""&amp;A35,""price"",TODAY()-75,TODAY()),1,0),""select Col2 limit 50"")), """")"),7553.27)</f>
        <v>7553.27</v>
      </c>
      <c r="F35" s="13">
        <f>IFERROR(__xludf.DUMMYFUNCTION("IFERROR(AVERAGE(QUERY(SORT(GOOGLEFINANCE(""NSE:""&amp;A35,""price"",TODAY()-150,TODAY()),1,0),""select Col2 limit 100"")), """")"),7531.57)</f>
        <v>7531.57</v>
      </c>
      <c r="G35" s="13">
        <f>IFERROR(__xludf.DUMMYFUNCTION("IFERROR(AVERAGE(QUERY(SORT(GOOGLEFINANCE(""NSE:""&amp;A35,""price"",TODAY()-300,TODAY()),1,0),""select Col2 limit 200"")), """")"),7268.1425)</f>
        <v>7268.1425</v>
      </c>
      <c r="H35" s="15" t="str">
        <f t="shared" si="1"/>
        <v>In Bear Run</v>
      </c>
      <c r="I35" s="16">
        <f t="shared" si="2"/>
        <v>-0.6073422473</v>
      </c>
      <c r="J35" s="7" t="str">
        <f>IFERROR(__xludf.DUMMYFUNCTION("IFERROR(IF(A35="""",""ENTER STOCK"",
  LET(
    raw_high, GOOGLEFINANCE(""NSE:"" &amp; A35, ""high"", TODAY()-365, TODAY()),
    high_date, IFERROR(TO_DATE(QUERY(raw_high, ""SELECT Col1 WHERE Col2 IS NOT NULL ORDER BY Col2 DESC LIMIT 1 LABEL Col1 ''"", 1))"&amp;", TODAY()-30),
    raw_data, IFERROR(GOOGLEFINANCE(""NSE:"" &amp; A35, ""close"", high_date, TODAY()), GOOGLEFINANCE(""NSE:"" &amp; A35,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35" s="7"/>
    </row>
    <row r="36">
      <c r="A36" s="8" t="s">
        <v>47</v>
      </c>
      <c r="B36" s="9">
        <v>5.2583624563E9</v>
      </c>
      <c r="C36" s="9">
        <v>2361.0</v>
      </c>
      <c r="D36" s="12">
        <f>IFERROR(__xludf.DUMMYFUNCTION("GOOGLEFINANCE(""NSE:""&amp;A36,""price"")"),2356.0)</f>
        <v>2356</v>
      </c>
      <c r="E36" s="13">
        <f>IFERROR(__xludf.DUMMYFUNCTION("IFERROR(AVERAGE(QUERY(SORT(GOOGLEFINANCE(""NSE:""&amp;A36,""price"",TODAY()-75,TODAY()),1,0),""select Col2 limit 50"")), """")"),2222.9)</f>
        <v>2222.9</v>
      </c>
      <c r="F36" s="13">
        <f>IFERROR(__xludf.DUMMYFUNCTION("IFERROR(AVERAGE(QUERY(SORT(GOOGLEFINANCE(""NSE:""&amp;A36,""price"",TODAY()-150,TODAY()),1,0),""select Col2 limit 100"")), """")"),2315.219999999999)</f>
        <v>2315.22</v>
      </c>
      <c r="G36" s="13">
        <f>IFERROR(__xludf.DUMMYFUNCTION("IFERROR(AVERAGE(QUERY(SORT(GOOGLEFINANCE(""NSE:""&amp;A36,""price"",TODAY()-300,TODAY()),1,0),""select Col2 limit 200"")), """")"),2664.5674999999987)</f>
        <v>2664.5675</v>
      </c>
      <c r="H36" s="15" t="str">
        <f t="shared" si="1"/>
        <v>Unconfirmed</v>
      </c>
      <c r="I36" s="16">
        <f t="shared" si="2"/>
        <v>-11.58039719</v>
      </c>
      <c r="J36" s="7" t="str">
        <f>IFERROR(__xludf.DUMMYFUNCTION("IFERROR(IF(A36="""",""ENTER STOCK"",
  LET(
    raw_high, GOOGLEFINANCE(""NSE:"" &amp; A36, ""high"", TODAY()-365, TODAY()),
    high_date, IFERROR(TO_DATE(QUERY(raw_high, ""SELECT Col1 WHERE Col2 IS NOT NULL ORDER BY Col2 DESC LIMIT 1 LABEL Col1 ''"", 1))"&amp;", TODAY()-30),
    raw_data, IFERROR(GOOGLEFINANCE(""NSE:"" &amp; A36, ""close"", high_date, TODAY()), GOOGLEFINANCE(""NSE:"" &amp; A36,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36" s="7"/>
    </row>
    <row r="37">
      <c r="A37" s="8" t="s">
        <v>48</v>
      </c>
      <c r="B37" s="9">
        <v>5.2317176026E9</v>
      </c>
      <c r="C37" s="9">
        <v>1603.0</v>
      </c>
      <c r="D37" s="12">
        <f>IFERROR(__xludf.DUMMYFUNCTION("GOOGLEFINANCE(""NSE:""&amp;A37,""price"")"),1607.0)</f>
        <v>1607</v>
      </c>
      <c r="E37" s="13">
        <f>IFERROR(__xludf.DUMMYFUNCTION("IFERROR(AVERAGE(QUERY(SORT(GOOGLEFINANCE(""NSE:""&amp;A37,""price"",TODAY()-75,TODAY()),1,0),""select Col2 limit 50"")), """")"),1270.5340000000003)</f>
        <v>1270.534</v>
      </c>
      <c r="F37" s="13">
        <f>IFERROR(__xludf.DUMMYFUNCTION("IFERROR(AVERAGE(QUERY(SORT(GOOGLEFINANCE(""NSE:""&amp;A37,""price"",TODAY()-150,TODAY()),1,0),""select Col2 limit 100"")), """")"),1187.5430000000006)</f>
        <v>1187.543</v>
      </c>
      <c r="G37" s="13">
        <f>IFERROR(__xludf.DUMMYFUNCTION("IFERROR(AVERAGE(QUERY(SORT(GOOGLEFINANCE(""NSE:""&amp;A37,""price"",TODAY()-300,TODAY()),1,0),""select Col2 limit 200"")), """")"),1211.7590000000005)</f>
        <v>1211.759</v>
      </c>
      <c r="H37" s="15" t="str">
        <f t="shared" si="1"/>
        <v>Unconfirmed</v>
      </c>
      <c r="I37" s="16">
        <f t="shared" si="2"/>
        <v>32.61712931</v>
      </c>
      <c r="J37" s="7" t="str">
        <f>IFERROR(__xludf.DUMMYFUNCTION("IFERROR(IF(A37="""",""ENTER STOCK"",
  LET(
    raw_high, GOOGLEFINANCE(""NSE:"" &amp; A37, ""high"", TODAY()-365, TODAY()),
    high_date, IFERROR(TO_DATE(QUERY(raw_high, ""SELECT Col1 WHERE Col2 IS NOT NULL ORDER BY Col2 DESC LIMIT 1 LABEL Col1 ''"", 1))"&amp;", TODAY()-30),
    raw_data, IFERROR(GOOGLEFINANCE(""NSE:"" &amp; A37, ""close"", high_date, TODAY()), GOOGLEFINANCE(""NSE:"" &amp; A37,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37" s="7"/>
    </row>
    <row r="38">
      <c r="A38" s="8" t="s">
        <v>49</v>
      </c>
      <c r="B38" s="9">
        <v>5.0223868072E9</v>
      </c>
      <c r="C38" s="9">
        <v>3035.1</v>
      </c>
      <c r="D38" s="12">
        <f>IFERROR(__xludf.DUMMYFUNCTION("GOOGLEFINANCE(""NSE:""&amp;A38,""price"")"),3040.0)</f>
        <v>3040</v>
      </c>
      <c r="E38" s="13">
        <f>IFERROR(__xludf.DUMMYFUNCTION("IFERROR(AVERAGE(QUERY(SORT(GOOGLEFINANCE(""NSE:""&amp;A38,""price"",TODAY()-75,TODAY()),1,0),""select Col2 limit 50"")), """")"),3052.386)</f>
        <v>3052.386</v>
      </c>
      <c r="F38" s="13">
        <f>IFERROR(__xludf.DUMMYFUNCTION("IFERROR(AVERAGE(QUERY(SORT(GOOGLEFINANCE(""NSE:""&amp;A38,""price"",TODAY()-150,TODAY()),1,0),""select Col2 limit 100"")), """")"),2711.8229999999994)</f>
        <v>2711.823</v>
      </c>
      <c r="G38" s="13">
        <f>IFERROR(__xludf.DUMMYFUNCTION("IFERROR(AVERAGE(QUERY(SORT(GOOGLEFINANCE(""NSE:""&amp;A38,""price"",TODAY()-300,TODAY()),1,0),""select Col2 limit 200"")), """")"),2465.2161)</f>
        <v>2465.2161</v>
      </c>
      <c r="H38" s="15" t="str">
        <f t="shared" si="1"/>
        <v>Unconfirmed</v>
      </c>
      <c r="I38" s="16">
        <f t="shared" si="2"/>
        <v>23.31576124</v>
      </c>
      <c r="J38" s="7" t="str">
        <f>IFERROR(__xludf.DUMMYFUNCTION("IFERROR(IF(A38="""",""ENTER STOCK"",
  LET(
    raw_high, GOOGLEFINANCE(""NSE:"" &amp; A38, ""high"", TODAY()-365, TODAY()),
    high_date, IFERROR(TO_DATE(QUERY(raw_high, ""SELECT Col1 WHERE Col2 IS NOT NULL ORDER BY Col2 DESC LIMIT 1 LABEL Col1 ''"", 1))"&amp;", TODAY()-30),
    raw_data, IFERROR(GOOGLEFINANCE(""NSE:"" &amp; A38, ""close"", high_date, TODAY()), GOOGLEFINANCE(""NSE:"" &amp; A38,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38" s="7"/>
    </row>
    <row r="39">
      <c r="A39" s="8" t="s">
        <v>50</v>
      </c>
      <c r="B39" s="9">
        <v>5.00698651915E9</v>
      </c>
      <c r="C39" s="9">
        <v>611.85</v>
      </c>
      <c r="D39" s="12">
        <f>IFERROR(__xludf.DUMMYFUNCTION("GOOGLEFINANCE(""NSE:""&amp;A39,""price"")"),612.0)</f>
        <v>612</v>
      </c>
      <c r="E39" s="13">
        <f>IFERROR(__xludf.DUMMYFUNCTION("IFERROR(AVERAGE(QUERY(SORT(GOOGLEFINANCE(""NSE:""&amp;A39,""price"",TODAY()-75,TODAY()),1,0),""select Col2 limit 50"")), """")"),539.659)</f>
        <v>539.659</v>
      </c>
      <c r="F39" s="13">
        <f>IFERROR(__xludf.DUMMYFUNCTION("IFERROR(AVERAGE(QUERY(SORT(GOOGLEFINANCE(""NSE:""&amp;A39,""price"",TODAY()-150,TODAY()),1,0),""select Col2 limit 100"")), """")"),525.1369999999998)</f>
        <v>525.137</v>
      </c>
      <c r="G39" s="13">
        <f>IFERROR(__xludf.DUMMYFUNCTION("IFERROR(AVERAGE(QUERY(SORT(GOOGLEFINANCE(""NSE:""&amp;A39,""price"",TODAY()-300,TODAY()),1,0),""select Col2 limit 200"")), """")"),491.10608465608414)</f>
        <v>491.1060847</v>
      </c>
      <c r="H39" s="15" t="str">
        <f t="shared" si="1"/>
        <v>Unconfirmed</v>
      </c>
      <c r="I39" s="16">
        <f t="shared" si="2"/>
        <v>24.61666005</v>
      </c>
      <c r="J39" s="7" t="str">
        <f>IFERROR(__xludf.DUMMYFUNCTION("IFERROR(IF(A39="""",""ENTER STOCK"",
  LET(
    raw_high, GOOGLEFINANCE(""NSE:"" &amp; A39, ""high"", TODAY()-365, TODAY()),
    high_date, IFERROR(TO_DATE(QUERY(raw_high, ""SELECT Col1 WHERE Col2 IS NOT NULL ORDER BY Col2 DESC LIMIT 1 LABEL Col1 ''"", 1))"&amp;", TODAY()-30),
    raw_data, IFERROR(GOOGLEFINANCE(""NSE:"" &amp; A39, ""close"", high_date, TODAY()), GOOGLEFINANCE(""NSE:"" &amp; A39,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39" s="7"/>
    </row>
    <row r="40">
      <c r="A40" s="8" t="s">
        <v>51</v>
      </c>
      <c r="B40" s="9">
        <v>4.94358666E9</v>
      </c>
      <c r="C40" s="9">
        <v>2978.0</v>
      </c>
      <c r="D40" s="12">
        <f>IFERROR(__xludf.DUMMYFUNCTION("GOOGLEFINANCE(""NSE:""&amp;A40,""price"")"),2992.0)</f>
        <v>2992</v>
      </c>
      <c r="E40" s="13">
        <f>IFERROR(__xludf.DUMMYFUNCTION("IFERROR(AVERAGE(QUERY(SORT(GOOGLEFINANCE(""NSE:""&amp;A40,""price"",TODAY()-75,TODAY()),1,0),""select Col2 limit 50"")), """")"),3002.386000000001)</f>
        <v>3002.386</v>
      </c>
      <c r="F40" s="13">
        <f>IFERROR(__xludf.DUMMYFUNCTION("IFERROR(AVERAGE(QUERY(SORT(GOOGLEFINANCE(""NSE:""&amp;A40,""price"",TODAY()-150,TODAY()),1,0),""select Col2 limit 100"")), """")"),2842.028300000001)</f>
        <v>2842.0283</v>
      </c>
      <c r="G40" s="13">
        <f>IFERROR(__xludf.DUMMYFUNCTION("IFERROR(AVERAGE(QUERY(SORT(GOOGLEFINANCE(""NSE:""&amp;A40,""price"",TODAY()-300,TODAY()),1,0),""select Col2 limit 200"")), """")"),2797.9670499999997)</f>
        <v>2797.96705</v>
      </c>
      <c r="H40" s="15" t="str">
        <f t="shared" si="1"/>
        <v>Unconfirmed</v>
      </c>
      <c r="I40" s="16">
        <f t="shared" si="2"/>
        <v>6.934783238</v>
      </c>
      <c r="J40" s="7" t="str">
        <f>IFERROR(__xludf.DUMMYFUNCTION("IFERROR(IF(A40="""",""ENTER STOCK"",
  LET(
    raw_high, GOOGLEFINANCE(""NSE:"" &amp; A40, ""high"", TODAY()-365, TODAY()),
    high_date, IFERROR(TO_DATE(QUERY(raw_high, ""SELECT Col1 WHERE Col2 IS NOT NULL ORDER BY Col2 DESC LIMIT 1 LABEL Col1 ''"", 1))"&amp;", TODAY()-30),
    raw_data, IFERROR(GOOGLEFINANCE(""NSE:"" &amp; A40, ""close"", high_date, TODAY()), GOOGLEFINANCE(""NSE:"" &amp; A40,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40" s="7"/>
    </row>
    <row r="41">
      <c r="A41" s="8" t="s">
        <v>52</v>
      </c>
      <c r="B41" s="9">
        <v>4.9153429473E9</v>
      </c>
      <c r="C41" s="9">
        <v>474.3</v>
      </c>
      <c r="D41" s="12">
        <f>IFERROR(__xludf.DUMMYFUNCTION("GOOGLEFINANCE(""NSE:""&amp;A41,""price"")"),473.9)</f>
        <v>473.9</v>
      </c>
      <c r="E41" s="13">
        <f>IFERROR(__xludf.DUMMYFUNCTION("IFERROR(AVERAGE(QUERY(SORT(GOOGLEFINANCE(""NSE:""&amp;A41,""price"",TODAY()-75,TODAY()),1,0),""select Col2 limit 50"")), """")"),418.77999999999986)</f>
        <v>418.78</v>
      </c>
      <c r="F41" s="13">
        <f>IFERROR(__xludf.DUMMYFUNCTION("IFERROR(AVERAGE(QUERY(SORT(GOOGLEFINANCE(""NSE:""&amp;A41,""price"",TODAY()-150,TODAY()),1,0),""select Col2 limit 100"")), """")"),413.0455)</f>
        <v>413.0455</v>
      </c>
      <c r="G41" s="13">
        <f>IFERROR(__xludf.DUMMYFUNCTION("IFERROR(AVERAGE(QUERY(SORT(GOOGLEFINANCE(""NSE:""&amp;A41,""price"",TODAY()-300,TODAY()),1,0),""select Col2 limit 200"")), """")"),416.1724598930484)</f>
        <v>416.1724599</v>
      </c>
      <c r="H41" s="15" t="str">
        <f t="shared" si="1"/>
        <v>Unconfirmed</v>
      </c>
      <c r="I41" s="16">
        <f t="shared" si="2"/>
        <v>13.87106204</v>
      </c>
      <c r="J41" s="7" t="str">
        <f>IFERROR(__xludf.DUMMYFUNCTION("IFERROR(IF(A41="""",""ENTER STOCK"",
  LET(
    raw_high, GOOGLEFINANCE(""NSE:"" &amp; A41, ""high"", TODAY()-365, TODAY()),
    high_date, IFERROR(TO_DATE(QUERY(raw_high, ""SELECT Col1 WHERE Col2 IS NOT NULL ORDER BY Col2 DESC LIMIT 1 LABEL Col1 ''"", 1))"&amp;", TODAY()-30),
    raw_data, IFERROR(GOOGLEFINANCE(""NSE:"" &amp; A41, ""close"", high_date, TODAY()), GOOGLEFINANCE(""NSE:"" &amp; A41,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41" s="7"/>
    </row>
    <row r="42">
      <c r="A42" s="8" t="s">
        <v>53</v>
      </c>
      <c r="B42" s="9">
        <v>4.84134101833E9</v>
      </c>
      <c r="C42" s="9">
        <v>230.16</v>
      </c>
      <c r="D42" s="12">
        <f>IFERROR(__xludf.DUMMYFUNCTION("GOOGLEFINANCE(""NSE:""&amp;A42,""price"")"),229.0)</f>
        <v>229</v>
      </c>
      <c r="E42" s="13">
        <f>IFERROR(__xludf.DUMMYFUNCTION("IFERROR(AVERAGE(QUERY(SORT(GOOGLEFINANCE(""NSE:""&amp;A42,""price"",TODAY()-75,TODAY()),1,0),""select Col2 limit 50"")), """")"),184.26819999999995)</f>
        <v>184.2682</v>
      </c>
      <c r="F42" s="13">
        <f>IFERROR(__xludf.DUMMYFUNCTION("IFERROR(AVERAGE(QUERY(SORT(GOOGLEFINANCE(""NSE:""&amp;A42,""price"",TODAY()-150,TODAY()),1,0),""select Col2 limit 100"")), """")"),172.22510000000003)</f>
        <v>172.2251</v>
      </c>
      <c r="G42" s="13">
        <f>IFERROR(__xludf.DUMMYFUNCTION("IFERROR(AVERAGE(QUERY(SORT(GOOGLEFINANCE(""NSE:""&amp;A42,""price"",TODAY()-300,TODAY()),1,0),""select Col2 limit 200"")), """")"),161.92280000000002)</f>
        <v>161.9228</v>
      </c>
      <c r="H42" s="15" t="str">
        <f t="shared" si="1"/>
        <v>Unconfirmed</v>
      </c>
      <c r="I42" s="16">
        <f t="shared" si="2"/>
        <v>41.42542001</v>
      </c>
      <c r="J42" s="7" t="str">
        <f>IFERROR(__xludf.DUMMYFUNCTION("IFERROR(IF(A42="""",""ENTER STOCK"",
  LET(
    raw_high, GOOGLEFINANCE(""NSE:"" &amp; A42, ""high"", TODAY()-365, TODAY()),
    high_date, IFERROR(TO_DATE(QUERY(raw_high, ""SELECT Col1 WHERE Col2 IS NOT NULL ORDER BY Col2 DESC LIMIT 1 LABEL Col1 ''"", 1))"&amp;", TODAY()-30),
    raw_data, IFERROR(GOOGLEFINANCE(""NSE:"" &amp; A42, ""close"", high_date, TODAY()), GOOGLEFINANCE(""NSE:"" &amp; A42,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42" s="7"/>
    </row>
    <row r="43">
      <c r="A43" s="8" t="s">
        <v>54</v>
      </c>
      <c r="B43" s="9">
        <v>4.82530389365E9</v>
      </c>
      <c r="C43" s="9">
        <v>421.7</v>
      </c>
      <c r="D43" s="12">
        <f>IFERROR(__xludf.DUMMYFUNCTION("GOOGLEFINANCE(""NSE:""&amp;A43,""price"")"),423.15)</f>
        <v>423.15</v>
      </c>
      <c r="E43" s="13">
        <f>IFERROR(__xludf.DUMMYFUNCTION("IFERROR(AVERAGE(QUERY(SORT(GOOGLEFINANCE(""NSE:""&amp;A43,""price"",TODAY()-75,TODAY()),1,0),""select Col2 limit 50"")), """")"),403.21700000000004)</f>
        <v>403.217</v>
      </c>
      <c r="F43" s="13">
        <f>IFERROR(__xludf.DUMMYFUNCTION("IFERROR(AVERAGE(QUERY(SORT(GOOGLEFINANCE(""NSE:""&amp;A43,""price"",TODAY()-150,TODAY()),1,0),""select Col2 limit 100"")), """")"),373.1442999999999)</f>
        <v>373.1443</v>
      </c>
      <c r="G43" s="13">
        <f>IFERROR(__xludf.DUMMYFUNCTION("IFERROR(AVERAGE(QUERY(SORT(GOOGLEFINANCE(""NSE:""&amp;A43,""price"",TODAY()-300,TODAY()),1,0),""select Col2 limit 200"")), """")"),321.3360999999999)</f>
        <v>321.3361</v>
      </c>
      <c r="H43" s="15" t="str">
        <f t="shared" si="1"/>
        <v>Unconfirmed</v>
      </c>
      <c r="I43" s="16">
        <f t="shared" si="2"/>
        <v>31.68455085</v>
      </c>
      <c r="J43" s="7" t="str">
        <f>IFERROR(__xludf.DUMMYFUNCTION("IFERROR(IF(A43="""",""ENTER STOCK"",
  LET(
    raw_high, GOOGLEFINANCE(""NSE:"" &amp; A43, ""high"", TODAY()-365, TODAY()),
    high_date, IFERROR(TO_DATE(QUERY(raw_high, ""SELECT Col1 WHERE Col2 IS NOT NULL ORDER BY Col2 DESC LIMIT 1 LABEL Col1 ''"", 1))"&amp;", TODAY()-30),
    raw_data, IFERROR(GOOGLEFINANCE(""NSE:"" &amp; A43, ""close"", high_date, TODAY()), GOOGLEFINANCE(""NSE:"" &amp; A43,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43" s="7"/>
    </row>
    <row r="44">
      <c r="A44" s="8" t="s">
        <v>55</v>
      </c>
      <c r="B44" s="9">
        <v>4.64677919652E9</v>
      </c>
      <c r="C44" s="9">
        <v>169.51</v>
      </c>
      <c r="D44" s="12">
        <f>IFERROR(__xludf.DUMMYFUNCTION("GOOGLEFINANCE(""NSE:""&amp;A44,""price"")"),169.51)</f>
        <v>169.51</v>
      </c>
      <c r="E44" s="13">
        <f>IFERROR(__xludf.DUMMYFUNCTION("IFERROR(AVERAGE(QUERY(SORT(GOOGLEFINANCE(""NSE:""&amp;A44,""price"",TODAY()-75,TODAY()),1,0),""select Col2 limit 50"")), """")"),171.6624)</f>
        <v>171.6624</v>
      </c>
      <c r="F44" s="13">
        <f>IFERROR(__xludf.DUMMYFUNCTION("IFERROR(AVERAGE(QUERY(SORT(GOOGLEFINANCE(""NSE:""&amp;A44,""price"",TODAY()-150,TODAY()),1,0),""select Col2 limit 100"")), """")"),175.4751)</f>
        <v>175.4751</v>
      </c>
      <c r="G44" s="13">
        <f>IFERROR(__xludf.DUMMYFUNCTION("IFERROR(AVERAGE(QUERY(SORT(GOOGLEFINANCE(""NSE:""&amp;A44,""price"",TODAY()-300,TODAY()),1,0),""select Col2 limit 200"")), """")"),160.25600000000003)</f>
        <v>160.256</v>
      </c>
      <c r="H44" s="15" t="str">
        <f t="shared" si="1"/>
        <v>Unconfirmed</v>
      </c>
      <c r="I44" s="16">
        <f t="shared" si="2"/>
        <v>5.774510783</v>
      </c>
      <c r="J44" s="7" t="str">
        <f>IFERROR(__xludf.DUMMYFUNCTION("IFERROR(IF(A44="""",""ENTER STOCK"",
  LET(
    raw_high, GOOGLEFINANCE(""NSE:"" &amp; A44, ""high"", TODAY()-365, TODAY()),
    high_date, IFERROR(TO_DATE(QUERY(raw_high, ""SELECT Col1 WHERE Col2 IS NOT NULL ORDER BY Col2 DESC LIMIT 1 LABEL Col1 ''"", 1))"&amp;", TODAY()-30),
    raw_data, IFERROR(GOOGLEFINANCE(""NSE:"" &amp; A44, ""close"", high_date, TODAY()), GOOGLEFINANCE(""NSE:"" &amp; A44,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44" s="7"/>
    </row>
    <row r="45">
      <c r="A45" s="8" t="s">
        <v>56</v>
      </c>
      <c r="B45" s="9">
        <v>4.6109062281E9</v>
      </c>
      <c r="C45" s="9">
        <v>1087.0</v>
      </c>
      <c r="D45" s="12">
        <f>IFERROR(__xludf.DUMMYFUNCTION("GOOGLEFINANCE(""NSE:""&amp;A45,""price"")"),1086.0)</f>
        <v>1086</v>
      </c>
      <c r="E45" s="13">
        <f>IFERROR(__xludf.DUMMYFUNCTION("IFERROR(AVERAGE(QUERY(SORT(GOOGLEFINANCE(""NSE:""&amp;A45,""price"",TODAY()-75,TODAY()),1,0),""select Col2 limit 50"")), """")"),1020.9720000000002)</f>
        <v>1020.972</v>
      </c>
      <c r="F45" s="13">
        <f>IFERROR(__xludf.DUMMYFUNCTION("IFERROR(AVERAGE(QUERY(SORT(GOOGLEFINANCE(""NSE:""&amp;A45,""price"",TODAY()-150,TODAY()),1,0),""select Col2 limit 100"")), """")"),961.6630000000006)</f>
        <v>961.663</v>
      </c>
      <c r="G45" s="13">
        <f>IFERROR(__xludf.DUMMYFUNCTION("IFERROR(AVERAGE(QUERY(SORT(GOOGLEFINANCE(""NSE:""&amp;A45,""price"",TODAY()-300,TODAY()),1,0),""select Col2 limit 200"")), """")"),976.4225000000005)</f>
        <v>976.4225</v>
      </c>
      <c r="H45" s="15" t="str">
        <f t="shared" si="1"/>
        <v>Unconfirmed</v>
      </c>
      <c r="I45" s="16">
        <f t="shared" si="2"/>
        <v>11.22234484</v>
      </c>
      <c r="J45" s="7" t="str">
        <f>IFERROR(__xludf.DUMMYFUNCTION("IFERROR(IF(A45="""",""ENTER STOCK"",
  LET(
    raw_high, GOOGLEFINANCE(""NSE:"" &amp; A45, ""high"", TODAY()-365, TODAY()),
    high_date, IFERROR(TO_DATE(QUERY(raw_high, ""SELECT Col1 WHERE Col2 IS NOT NULL ORDER BY Col2 DESC LIMIT 1 LABEL Col1 ''"", 1))"&amp;", TODAY()-30),
    raw_data, IFERROR(GOOGLEFINANCE(""NSE:"" &amp; A45, ""close"", high_date, TODAY()), GOOGLEFINANCE(""NSE:"" &amp; A45,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45" s="7"/>
    </row>
    <row r="46">
      <c r="A46" s="8" t="s">
        <v>57</v>
      </c>
      <c r="B46" s="9">
        <v>4.5842784318E9</v>
      </c>
      <c r="C46" s="9">
        <v>529.05</v>
      </c>
      <c r="D46" s="12">
        <f>IFERROR(__xludf.DUMMYFUNCTION("GOOGLEFINANCE(""NSE:""&amp;A46,""price"")"),528.8)</f>
        <v>528.8</v>
      </c>
      <c r="E46" s="13">
        <f>IFERROR(__xludf.DUMMYFUNCTION("IFERROR(AVERAGE(QUERY(SORT(GOOGLEFINANCE(""NSE:""&amp;A46,""price"",TODAY()-75,TODAY()),1,0),""select Col2 limit 50"")), """")"),503.39700000000005)</f>
        <v>503.397</v>
      </c>
      <c r="F46" s="13">
        <f>IFERROR(__xludf.DUMMYFUNCTION("IFERROR(AVERAGE(QUERY(SORT(GOOGLEFINANCE(""NSE:""&amp;A46,""price"",TODAY()-150,TODAY()),1,0),""select Col2 limit 100"")), """")"),520.571)</f>
        <v>520.571</v>
      </c>
      <c r="G46" s="13">
        <f>IFERROR(__xludf.DUMMYFUNCTION("IFERROR(AVERAGE(QUERY(SORT(GOOGLEFINANCE(""NSE:""&amp;A46,""price"",TODAY()-300,TODAY()),1,0),""select Col2 limit 200"")), """")"),494.57900000000006)</f>
        <v>494.579</v>
      </c>
      <c r="H46" s="15" t="str">
        <f t="shared" si="1"/>
        <v>In Bull Run</v>
      </c>
      <c r="I46" s="16">
        <f t="shared" si="2"/>
        <v>6.919218163</v>
      </c>
      <c r="J46" s="7" t="str">
        <f>IFERROR(__xludf.DUMMYFUNCTION("IFERROR(IF(A46="""",""ENTER STOCK"",
  LET(
    raw_high, GOOGLEFINANCE(""NSE:"" &amp; A46, ""high"", TODAY()-365, TODAY()),
    high_date, IFERROR(TO_DATE(QUERY(raw_high, ""SELECT Col1 WHERE Col2 IS NOT NULL ORDER BY Col2 DESC LIMIT 1 LABEL Col1 ''"", 1))"&amp;", TODAY()-30),
    raw_data, IFERROR(GOOGLEFINANCE(""NSE:"" &amp; A46, ""close"", high_date, TODAY()), GOOGLEFINANCE(""NSE:"" &amp; A46,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46" s="7"/>
    </row>
    <row r="47">
      <c r="A47" s="8" t="s">
        <v>58</v>
      </c>
      <c r="B47" s="9">
        <v>4.44505366E9</v>
      </c>
      <c r="C47" s="9">
        <v>36750.0</v>
      </c>
      <c r="D47" s="12">
        <f>IFERROR(__xludf.DUMMYFUNCTION("GOOGLEFINANCE(""NSE:""&amp;A47,""price"")"),36860.0)</f>
        <v>36860</v>
      </c>
      <c r="E47" s="13">
        <f>IFERROR(__xludf.DUMMYFUNCTION("IFERROR(AVERAGE(QUERY(SORT(GOOGLEFINANCE(""NSE:""&amp;A47,""price"",TODAY()-75,TODAY()),1,0),""select Col2 limit 50"")), """")"),39975.3)</f>
        <v>39975.3</v>
      </c>
      <c r="F47" s="13">
        <f>IFERROR(__xludf.DUMMYFUNCTION("IFERROR(AVERAGE(QUERY(SORT(GOOGLEFINANCE(""NSE:""&amp;A47,""price"",TODAY()-150,TODAY()),1,0),""select Col2 limit 100"")), """")"),38141.5)</f>
        <v>38141.5</v>
      </c>
      <c r="G47" s="13">
        <f>IFERROR(__xludf.DUMMYFUNCTION("IFERROR(AVERAGE(QUERY(SORT(GOOGLEFINANCE(""NSE:""&amp;A47,""price"",TODAY()-300,TODAY()),1,0),""select Col2 limit 200"")), """")"),36931.375)</f>
        <v>36931.375</v>
      </c>
      <c r="H47" s="15" t="str">
        <f t="shared" si="1"/>
        <v>In Bear Run</v>
      </c>
      <c r="I47" s="16">
        <f t="shared" si="2"/>
        <v>-0.1932638576</v>
      </c>
      <c r="J47" s="7" t="str">
        <f>IFERROR(__xludf.DUMMYFUNCTION("IFERROR(IF(A47="""",""ENTER STOCK"",
  LET(
    raw_high, GOOGLEFINANCE(""NSE:"" &amp; A47, ""high"", TODAY()-365, TODAY()),
    high_date, IFERROR(TO_DATE(QUERY(raw_high, ""SELECT Col1 WHERE Col2 IS NOT NULL ORDER BY Col2 DESC LIMIT 1 LABEL Col1 ''"", 1))"&amp;", TODAY()-30),
    raw_data, IFERROR(GOOGLEFINANCE(""NSE:"" &amp; A47, ""close"", high_date, TODAY()), GOOGLEFINANCE(""NSE:"" &amp; A47,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47" s="7"/>
    </row>
    <row r="48">
      <c r="A48" s="8" t="s">
        <v>59</v>
      </c>
      <c r="B48" s="9">
        <v>4.43036136035E9</v>
      </c>
      <c r="C48" s="9">
        <v>493.75</v>
      </c>
      <c r="D48" s="12">
        <f>IFERROR(__xludf.DUMMYFUNCTION("GOOGLEFINANCE(""NSE:""&amp;A48,""price"")"),496.0)</f>
        <v>496</v>
      </c>
      <c r="E48" s="13">
        <f>IFERROR(__xludf.DUMMYFUNCTION("IFERROR(AVERAGE(QUERY(SORT(GOOGLEFINANCE(""NSE:""&amp;A48,""price"",TODAY()-75,TODAY()),1,0),""select Col2 limit 50"")), """")"),452.4040000000001)</f>
        <v>452.404</v>
      </c>
      <c r="F48" s="13">
        <f>IFERROR(__xludf.DUMMYFUNCTION("IFERROR(AVERAGE(QUERY(SORT(GOOGLEFINANCE(""NSE:""&amp;A48,""price"",TODAY()-150,TODAY()),1,0),""select Col2 limit 100"")), """")"),464.87300000000016)</f>
        <v>464.873</v>
      </c>
      <c r="G48" s="13">
        <f>IFERROR(__xludf.DUMMYFUNCTION("IFERROR(AVERAGE(QUERY(SORT(GOOGLEFINANCE(""NSE:""&amp;A48,""price"",TODAY()-300,TODAY()),1,0),""select Col2 limit 200"")), """")"),503.10225000000014)</f>
        <v>503.10225</v>
      </c>
      <c r="H48" s="15" t="str">
        <f t="shared" si="1"/>
        <v>Unconfirmed</v>
      </c>
      <c r="I48" s="16">
        <f t="shared" si="2"/>
        <v>-1.411691162</v>
      </c>
      <c r="J48" s="7" t="str">
        <f>IFERROR(__xludf.DUMMYFUNCTION("IFERROR(IF(A48="""",""ENTER STOCK"",
  LET(
    raw_high, GOOGLEFINANCE(""NSE:"" &amp; A48, ""high"", TODAY()-365, TODAY()),
    high_date, IFERROR(TO_DATE(QUERY(raw_high, ""SELECT Col1 WHERE Col2 IS NOT NULL ORDER BY Col2 DESC LIMIT 1 LABEL Col1 ''"", 1))"&amp;", TODAY()-30),
    raw_data, IFERROR(GOOGLEFINANCE(""NSE:"" &amp; A48, ""close"", high_date, TODAY()), GOOGLEFINANCE(""NSE:"" &amp; A48,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48" s="7"/>
    </row>
    <row r="49">
      <c r="A49" s="8" t="s">
        <v>60</v>
      </c>
      <c r="B49" s="9">
        <v>4.39817105295E9</v>
      </c>
      <c r="C49" s="9">
        <v>608.25</v>
      </c>
      <c r="D49" s="12">
        <f>IFERROR(__xludf.DUMMYFUNCTION("GOOGLEFINANCE(""NSE:""&amp;A49,""price"")"),606.9)</f>
        <v>606.9</v>
      </c>
      <c r="E49" s="13">
        <f>IFERROR(__xludf.DUMMYFUNCTION("IFERROR(AVERAGE(QUERY(SORT(GOOGLEFINANCE(""NSE:""&amp;A49,""price"",TODAY()-75,TODAY()),1,0),""select Col2 limit 50"")), """")"),482.2829999999999)</f>
        <v>482.283</v>
      </c>
      <c r="F49" s="13">
        <f>IFERROR(__xludf.DUMMYFUNCTION("IFERROR(AVERAGE(QUERY(SORT(GOOGLEFINANCE(""NSE:""&amp;A49,""price"",TODAY()-150,TODAY()),1,0),""select Col2 limit 100"")), """")"),436.47799999999984)</f>
        <v>436.478</v>
      </c>
      <c r="G49" s="13">
        <f>IFERROR(__xludf.DUMMYFUNCTION("IFERROR(AVERAGE(QUERY(SORT(GOOGLEFINANCE(""NSE:""&amp;A49,""price"",TODAY()-300,TODAY()),1,0),""select Col2 limit 200"")), """")"),446.3492500000001)</f>
        <v>446.34925</v>
      </c>
      <c r="H49" s="15" t="str">
        <f t="shared" si="1"/>
        <v>Unconfirmed</v>
      </c>
      <c r="I49" s="16">
        <f t="shared" si="2"/>
        <v>35.96975911</v>
      </c>
      <c r="J49" s="7" t="str">
        <f>IFERROR(__xludf.DUMMYFUNCTION("IFERROR(IF(A49="""",""ENTER STOCK"",
  LET(
    raw_high, GOOGLEFINANCE(""NSE:"" &amp; A49, ""high"", TODAY()-365, TODAY()),
    high_date, IFERROR(TO_DATE(QUERY(raw_high, ""SELECT Col1 WHERE Col2 IS NOT NULL ORDER BY Col2 DESC LIMIT 1 LABEL Col1 ''"", 1))"&amp;", TODAY()-30),
    raw_data, IFERROR(GOOGLEFINANCE(""NSE:"" &amp; A49, ""close"", high_date, TODAY()), GOOGLEFINANCE(""NSE:"" &amp; A49,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49" s="7"/>
    </row>
    <row r="50">
      <c r="A50" s="8" t="s">
        <v>61</v>
      </c>
      <c r="B50" s="9">
        <v>4.3547670335E9</v>
      </c>
      <c r="C50" s="9">
        <v>2911.5</v>
      </c>
      <c r="D50" s="12">
        <f>IFERROR(__xludf.DUMMYFUNCTION("GOOGLEFINANCE(""NSE:""&amp;A50,""price"")"),2925.7)</f>
        <v>2925.7</v>
      </c>
      <c r="E50" s="13">
        <f>IFERROR(__xludf.DUMMYFUNCTION("IFERROR(AVERAGE(QUERY(SORT(GOOGLEFINANCE(""NSE:""&amp;A50,""price"",TODAY()-75,TODAY()),1,0),""select Col2 limit 50"")), """")"),2797.2399999999993)</f>
        <v>2797.24</v>
      </c>
      <c r="F50" s="13">
        <f>IFERROR(__xludf.DUMMYFUNCTION("IFERROR(AVERAGE(QUERY(SORT(GOOGLEFINANCE(""NSE:""&amp;A50,""price"",TODAY()-150,TODAY()),1,0),""select Col2 limit 100"")), """")"),2839.789)</f>
        <v>2839.789</v>
      </c>
      <c r="G50" s="13">
        <f>IFERROR(__xludf.DUMMYFUNCTION("IFERROR(AVERAGE(QUERY(SORT(GOOGLEFINANCE(""NSE:""&amp;A50,""price"",TODAY()-300,TODAY()),1,0),""select Col2 limit 200"")), """")"),2525.172499999999)</f>
        <v>2525.1725</v>
      </c>
      <c r="H50" s="15" t="str">
        <f t="shared" si="1"/>
        <v>Unconfirmed</v>
      </c>
      <c r="I50" s="16">
        <f t="shared" si="2"/>
        <v>15.86139165</v>
      </c>
      <c r="J50" s="7" t="str">
        <f>IFERROR(__xludf.DUMMYFUNCTION("IFERROR(IF(A50="""",""ENTER STOCK"",
  LET(
    raw_high, GOOGLEFINANCE(""NSE:"" &amp; A50, ""high"", TODAY()-365, TODAY()),
    high_date, IFERROR(TO_DATE(QUERY(raw_high, ""SELECT Col1 WHERE Col2 IS NOT NULL ORDER BY Col2 DESC LIMIT 1 LABEL Col1 ''"", 1))"&amp;", TODAY()-30),
    raw_data, IFERROR(GOOGLEFINANCE(""NSE:"" &amp; A50, ""close"", high_date, TODAY()), GOOGLEFINANCE(""NSE:"" &amp; A50,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50" s="7"/>
    </row>
    <row r="51">
      <c r="A51" s="8" t="s">
        <v>62</v>
      </c>
      <c r="B51" s="9">
        <v>4.15687578885E9</v>
      </c>
      <c r="C51" s="9">
        <v>249.05</v>
      </c>
      <c r="D51" s="12">
        <f>IFERROR(__xludf.DUMMYFUNCTION("GOOGLEFINANCE(""NSE:""&amp;A51,""price"")"),250.0)</f>
        <v>250</v>
      </c>
      <c r="E51" s="13">
        <f>IFERROR(__xludf.DUMMYFUNCTION("IFERROR(AVERAGE(QUERY(SORT(GOOGLEFINANCE(""NSE:""&amp;A51,""price"",TODAY()-75,TODAY()),1,0),""select Col2 limit 50"")), """")"),242.49639999999997)</f>
        <v>242.4964</v>
      </c>
      <c r="F51" s="13">
        <f>IFERROR(__xludf.DUMMYFUNCTION("IFERROR(AVERAGE(QUERY(SORT(GOOGLEFINANCE(""NSE:""&amp;A51,""price"",TODAY()-150,TODAY()),1,0),""select Col2 limit 100"")), """")"),240.94709999999998)</f>
        <v>240.9471</v>
      </c>
      <c r="G51" s="13">
        <f>IFERROR(__xludf.DUMMYFUNCTION("IFERROR(AVERAGE(QUERY(SORT(GOOGLEFINANCE(""NSE:""&amp;A51,""price"",TODAY()-300,TODAY()),1,0),""select Col2 limit 200"")), """")"),261.4082999999999)</f>
        <v>261.4083</v>
      </c>
      <c r="H51" s="15" t="str">
        <f t="shared" si="1"/>
        <v>Unconfirmed</v>
      </c>
      <c r="I51" s="16">
        <f t="shared" si="2"/>
        <v>-4.364169003</v>
      </c>
      <c r="J51" s="7" t="str">
        <f>IFERROR(__xludf.DUMMYFUNCTION("IFERROR(IF(A51="""",""ENTER STOCK"",
  LET(
    raw_high, GOOGLEFINANCE(""NSE:"" &amp; A51, ""high"", TODAY()-365, TODAY()),
    high_date, IFERROR(TO_DATE(QUERY(raw_high, ""SELECT Col1 WHERE Col2 IS NOT NULL ORDER BY Col2 DESC LIMIT 1 LABEL Col1 ''"", 1))"&amp;", TODAY()-30),
    raw_data, IFERROR(GOOGLEFINANCE(""NSE:"" &amp; A51, ""close"", high_date, TODAY()), GOOGLEFINANCE(""NSE:"" &amp; A51,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51" s="7"/>
    </row>
    <row r="52">
      <c r="A52" s="8" t="s">
        <v>63</v>
      </c>
      <c r="B52" s="9">
        <v>4.0776211752E9</v>
      </c>
      <c r="C52" s="9">
        <v>1008.6</v>
      </c>
      <c r="D52" s="12">
        <f>IFERROR(__xludf.DUMMYFUNCTION("GOOGLEFINANCE(""NSE:""&amp;A52,""price"")"),1011.0)</f>
        <v>1011</v>
      </c>
      <c r="E52" s="13">
        <f>IFERROR(__xludf.DUMMYFUNCTION("IFERROR(AVERAGE(QUERY(SORT(GOOGLEFINANCE(""NSE:""&amp;A52,""price"",TODAY()-75,TODAY()),1,0),""select Col2 limit 50"")), """")"),1078.76)</f>
        <v>1078.76</v>
      </c>
      <c r="F52" s="13">
        <f>IFERROR(__xludf.DUMMYFUNCTION("IFERROR(AVERAGE(QUERY(SORT(GOOGLEFINANCE(""NSE:""&amp;A52,""price"",TODAY()-150,TODAY()),1,0),""select Col2 limit 100"")), """")"),1036.4865)</f>
        <v>1036.4865</v>
      </c>
      <c r="G52" s="13">
        <f>IFERROR(__xludf.DUMMYFUNCTION("IFERROR(AVERAGE(QUERY(SORT(GOOGLEFINANCE(""NSE:""&amp;A52,""price"",TODAY()-300,TODAY()),1,0),""select Col2 limit 200"")), """")"),1054.4402499999999)</f>
        <v>1054.44025</v>
      </c>
      <c r="H52" s="15" t="str">
        <f t="shared" si="1"/>
        <v>In Bear Run</v>
      </c>
      <c r="I52" s="16">
        <f t="shared" si="2"/>
        <v>-4.11974505</v>
      </c>
      <c r="J52" s="7" t="str">
        <f>IFERROR(__xludf.DUMMYFUNCTION("IFERROR(IF(A52="""",""ENTER STOCK"",
  LET(
    raw_high, GOOGLEFINANCE(""NSE:"" &amp; A52, ""high"", TODAY()-365, TODAY()),
    high_date, IFERROR(TO_DATE(QUERY(raw_high, ""SELECT Col1 WHERE Col2 IS NOT NULL ORDER BY Col2 DESC LIMIT 1 LABEL Col1 ''"", 1))"&amp;", TODAY()-30),
    raw_data, IFERROR(GOOGLEFINANCE(""NSE:"" &amp; A52, ""close"", high_date, TODAY()), GOOGLEFINANCE(""NSE:"" &amp; A52,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52" s="7"/>
    </row>
    <row r="53">
      <c r="A53" s="8" t="s">
        <v>64</v>
      </c>
      <c r="B53" s="9">
        <v>4.066504485E9</v>
      </c>
      <c r="C53" s="9">
        <v>35700.0</v>
      </c>
      <c r="D53" s="12">
        <f>IFERROR(__xludf.DUMMYFUNCTION("GOOGLEFINANCE(""NSE:""&amp;A53,""price"")"),35650.0)</f>
        <v>35650</v>
      </c>
      <c r="E53" s="13">
        <f>IFERROR(__xludf.DUMMYFUNCTION("IFERROR(AVERAGE(QUERY(SORT(GOOGLEFINANCE(""NSE:""&amp;A53,""price"",TODAY()-75,TODAY()),1,0),""select Col2 limit 50"")), """")"),33545.6)</f>
        <v>33545.6</v>
      </c>
      <c r="F53" s="13">
        <f>IFERROR(__xludf.DUMMYFUNCTION("IFERROR(AVERAGE(QUERY(SORT(GOOGLEFINANCE(""NSE:""&amp;A53,""price"",TODAY()-150,TODAY()),1,0),""select Col2 limit 100"")), """")"),32285.65)</f>
        <v>32285.65</v>
      </c>
      <c r="G53" s="13">
        <f>IFERROR(__xludf.DUMMYFUNCTION("IFERROR(AVERAGE(QUERY(SORT(GOOGLEFINANCE(""NSE:""&amp;A53,""price"",TODAY()-300,TODAY()),1,0),""select Col2 limit 200"")), """")"),26433.18)</f>
        <v>26433.18</v>
      </c>
      <c r="H53" s="15" t="str">
        <f t="shared" si="1"/>
        <v>Unconfirmed</v>
      </c>
      <c r="I53" s="16">
        <f t="shared" si="2"/>
        <v>34.86837376</v>
      </c>
      <c r="J53" s="7" t="str">
        <f>IFERROR(__xludf.DUMMYFUNCTION("IFERROR(IF(A53="""",""ENTER STOCK"",
  LET(
    raw_high, GOOGLEFINANCE(""NSE:"" &amp; A53, ""high"", TODAY()-365, TODAY()),
    high_date, IFERROR(TO_DATE(QUERY(raw_high, ""SELECT Col1 WHERE Col2 IS NOT NULL ORDER BY Col2 DESC LIMIT 1 LABEL Col1 ''"", 1))"&amp;", TODAY()-30),
    raw_data, IFERROR(GOOGLEFINANCE(""NSE:"" &amp; A53, ""close"", high_date, TODAY()), GOOGLEFINANCE(""NSE:"" &amp; A53,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53" s="7"/>
    </row>
    <row r="54">
      <c r="A54" s="8" t="s">
        <v>65</v>
      </c>
      <c r="B54" s="9">
        <v>4.0586755509E9</v>
      </c>
      <c r="C54" s="9">
        <v>1118.1</v>
      </c>
      <c r="D54" s="12">
        <f>IFERROR(__xludf.DUMMYFUNCTION("GOOGLEFINANCE(""NSE:""&amp;A54,""price"")"),1120.0)</f>
        <v>1120</v>
      </c>
      <c r="E54" s="13">
        <f>IFERROR(__xludf.DUMMYFUNCTION("IFERROR(AVERAGE(QUERY(SORT(GOOGLEFINANCE(""NSE:""&amp;A54,""price"",TODAY()-75,TODAY()),1,0),""select Col2 limit 50"")), """")"),980.1510000000001)</f>
        <v>980.151</v>
      </c>
      <c r="F54" s="13">
        <f>IFERROR(__xludf.DUMMYFUNCTION("IFERROR(AVERAGE(QUERY(SORT(GOOGLEFINANCE(""NSE:""&amp;A54,""price"",TODAY()-150,TODAY()),1,0),""select Col2 limit 100"")), """")"),925.6686868686871)</f>
        <v>925.6686869</v>
      </c>
      <c r="G54" s="13">
        <f>IFERROR(__xludf.DUMMYFUNCTION("IFERROR(AVERAGE(QUERY(SORT(GOOGLEFINANCE(""NSE:""&amp;A54,""price"",TODAY()-300,TODAY()),1,0),""select Col2 limit 200"")), """")"),946.3872500000007)</f>
        <v>946.38725</v>
      </c>
      <c r="H54" s="15" t="str">
        <f t="shared" si="1"/>
        <v>Unconfirmed</v>
      </c>
      <c r="I54" s="16">
        <f t="shared" si="2"/>
        <v>18.34478962</v>
      </c>
      <c r="J54" s="7" t="str">
        <f>IFERROR(__xludf.DUMMYFUNCTION("IFERROR(IF(A54="""",""ENTER STOCK"",
  LET(
    raw_high, GOOGLEFINANCE(""NSE:"" &amp; A54, ""high"", TODAY()-365, TODAY()),
    high_date, IFERROR(TO_DATE(QUERY(raw_high, ""SELECT Col1 WHERE Col2 IS NOT NULL ORDER BY Col2 DESC LIMIT 1 LABEL Col1 ''"", 1))"&amp;", TODAY()-30),
    raw_data, IFERROR(GOOGLEFINANCE(""NSE:"" &amp; A54, ""close"", high_date, TODAY()), GOOGLEFINANCE(""NSE:"" &amp; A54,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54" s="7"/>
    </row>
    <row r="55">
      <c r="A55" s="8" t="s">
        <v>66</v>
      </c>
      <c r="B55" s="9">
        <v>4.01919914595E9</v>
      </c>
      <c r="C55" s="9">
        <v>426.35</v>
      </c>
      <c r="D55" s="12">
        <f>IFERROR(__xludf.DUMMYFUNCTION("GOOGLEFINANCE(""NSE:""&amp;A55,""price"")"),425.0)</f>
        <v>425</v>
      </c>
      <c r="E55" s="13">
        <f>IFERROR(__xludf.DUMMYFUNCTION("IFERROR(AVERAGE(QUERY(SORT(GOOGLEFINANCE(""NSE:""&amp;A55,""price"",TODAY()-75,TODAY()),1,0),""select Col2 limit 50"")), """")"),396.82099999999997)</f>
        <v>396.821</v>
      </c>
      <c r="F55" s="13">
        <f>IFERROR(__xludf.DUMMYFUNCTION("IFERROR(AVERAGE(QUERY(SORT(GOOGLEFINANCE(""NSE:""&amp;A55,""price"",TODAY()-150,TODAY()),1,0),""select Col2 limit 100"")), """")"),416.94199999999984)</f>
        <v>416.942</v>
      </c>
      <c r="G55" s="13">
        <f>IFERROR(__xludf.DUMMYFUNCTION("IFERROR(AVERAGE(QUERY(SORT(GOOGLEFINANCE(""NSE:""&amp;A55,""price"",TODAY()-300,TODAY()),1,0),""select Col2 limit 200"")), """")"),363.26610000000005)</f>
        <v>363.2661</v>
      </c>
      <c r="H55" s="15" t="str">
        <f t="shared" si="1"/>
        <v>Unconfirmed</v>
      </c>
      <c r="I55" s="16">
        <f t="shared" si="2"/>
        <v>16.99412634</v>
      </c>
      <c r="J55" s="7" t="str">
        <f>IFERROR(__xludf.DUMMYFUNCTION("IFERROR(IF(A55="""",""ENTER STOCK"",
  LET(
    raw_high, GOOGLEFINANCE(""NSE:"" &amp; A55, ""high"", TODAY()-365, TODAY()),
    high_date, IFERROR(TO_DATE(QUERY(raw_high, ""SELECT Col1 WHERE Col2 IS NOT NULL ORDER BY Col2 DESC LIMIT 1 LABEL Col1 ''"", 1))"&amp;", TODAY()-30),
    raw_data, IFERROR(GOOGLEFINANCE(""NSE:"" &amp; A55, ""close"", high_date, TODAY()), GOOGLEFINANCE(""NSE:"" &amp; A55,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55" s="7"/>
    </row>
    <row r="56">
      <c r="A56" s="8" t="s">
        <v>67</v>
      </c>
      <c r="B56" s="9">
        <v>3.9079603841E9</v>
      </c>
      <c r="C56" s="9">
        <v>1377.5</v>
      </c>
      <c r="D56" s="12">
        <f>IFERROR(__xludf.DUMMYFUNCTION("GOOGLEFINANCE(""NSE:""&amp;A56,""price"")"),1372.0)</f>
        <v>1372</v>
      </c>
      <c r="E56" s="13">
        <f>IFERROR(__xludf.DUMMYFUNCTION("IFERROR(AVERAGE(QUERY(SORT(GOOGLEFINANCE(""NSE:""&amp;A56,""price"",TODAY()-75,TODAY()),1,0),""select Col2 limit 50"")), """")"),1229.9620000000002)</f>
        <v>1229.962</v>
      </c>
      <c r="F56" s="13">
        <f>IFERROR(__xludf.DUMMYFUNCTION("IFERROR(AVERAGE(QUERY(SORT(GOOGLEFINANCE(""NSE:""&amp;A56,""price"",TODAY()-150,TODAY()),1,0),""select Col2 limit 100"")), """")"),994.4645000000003)</f>
        <v>994.4645</v>
      </c>
      <c r="G56" s="13">
        <f>IFERROR(__xludf.DUMMYFUNCTION("IFERROR(AVERAGE(QUERY(SORT(GOOGLEFINANCE(""NSE:""&amp;A56,""price"",TODAY()-300,TODAY()),1,0),""select Col2 limit 200"")), """")"),836.8317500000003)</f>
        <v>836.83175</v>
      </c>
      <c r="H56" s="15" t="str">
        <f t="shared" si="1"/>
        <v>Unconfirmed</v>
      </c>
      <c r="I56" s="16">
        <f t="shared" si="2"/>
        <v>63.95171431</v>
      </c>
      <c r="J56" s="7" t="str">
        <f>IFERROR(__xludf.DUMMYFUNCTION("IFERROR(IF(A56="""",""ENTER STOCK"",
  LET(
    raw_high, GOOGLEFINANCE(""NSE:"" &amp; A56, ""high"", TODAY()-365, TODAY()),
    high_date, IFERROR(TO_DATE(QUERY(raw_high, ""SELECT Col1 WHERE Col2 IS NOT NULL ORDER BY Col2 DESC LIMIT 1 LABEL Col1 ''"", 1))"&amp;", TODAY()-30),
    raw_data, IFERROR(GOOGLEFINANCE(""NSE:"" &amp; A56, ""close"", high_date, TODAY()), GOOGLEFINANCE(""NSE:"" &amp; A56,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56" s="7"/>
    </row>
    <row r="57">
      <c r="A57" s="8" t="s">
        <v>68</v>
      </c>
      <c r="B57" s="9">
        <v>3.8831170332E9</v>
      </c>
      <c r="C57" s="9">
        <v>2485.0</v>
      </c>
      <c r="D57" s="12">
        <f>IFERROR(__xludf.DUMMYFUNCTION("GOOGLEFINANCE(""NSE:""&amp;A57,""price"")"),2481.0)</f>
        <v>2481</v>
      </c>
      <c r="E57" s="13">
        <f>IFERROR(__xludf.DUMMYFUNCTION("IFERROR(AVERAGE(QUERY(SORT(GOOGLEFINANCE(""NSE:""&amp;A57,""price"",TODAY()-75,TODAY()),1,0),""select Col2 limit 50"")), """")"),2608.5299999999997)</f>
        <v>2608.53</v>
      </c>
      <c r="F57" s="13">
        <f>IFERROR(__xludf.DUMMYFUNCTION("IFERROR(AVERAGE(QUERY(SORT(GOOGLEFINANCE(""NSE:""&amp;A57,""price"",TODAY()-150,TODAY()),1,0),""select Col2 limit 100"")), """")"),2613.1580000000004)</f>
        <v>2613.158</v>
      </c>
      <c r="G57" s="13">
        <f>IFERROR(__xludf.DUMMYFUNCTION("IFERROR(AVERAGE(QUERY(SORT(GOOGLEFINANCE(""NSE:""&amp;A57,""price"",TODAY()-300,TODAY()),1,0),""select Col2 limit 200"")), """")"),2627.5317500000006)</f>
        <v>2627.53175</v>
      </c>
      <c r="H57" s="15" t="str">
        <f t="shared" si="1"/>
        <v>In Bear Run</v>
      </c>
      <c r="I57" s="16">
        <f t="shared" si="2"/>
        <v>-5.57678323</v>
      </c>
      <c r="J57" s="7" t="str">
        <f>IFERROR(__xludf.DUMMYFUNCTION("IFERROR(IF(A57="""",""ENTER STOCK"",
  LET(
    raw_high, GOOGLEFINANCE(""NSE:"" &amp; A57, ""high"", TODAY()-365, TODAY()),
    high_date, IFERROR(TO_DATE(QUERY(raw_high, ""SELECT Col1 WHERE Col2 IS NOT NULL ORDER BY Col2 DESC LIMIT 1 LABEL Col1 ''"", 1))"&amp;", TODAY()-30),
    raw_data, IFERROR(GOOGLEFINANCE(""NSE:"" &amp; A57, ""close"", high_date, TODAY()), GOOGLEFINANCE(""NSE:"" &amp; A57,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57" s="7"/>
    </row>
    <row r="58">
      <c r="A58" s="8" t="s">
        <v>69</v>
      </c>
      <c r="B58" s="9">
        <v>3.7858711842E9</v>
      </c>
      <c r="C58" s="9">
        <v>4057.0</v>
      </c>
      <c r="D58" s="12">
        <f>IFERROR(__xludf.DUMMYFUNCTION("GOOGLEFINANCE(""NSE:""&amp;A58,""price"")"),4057.0)</f>
        <v>4057</v>
      </c>
      <c r="E58" s="13">
        <f>IFERROR(__xludf.DUMMYFUNCTION("IFERROR(AVERAGE(QUERY(SORT(GOOGLEFINANCE(""NSE:""&amp;A58,""price"",TODAY()-75,TODAY()),1,0),""select Col2 limit 50"")), """")"),3993.542)</f>
        <v>3993.542</v>
      </c>
      <c r="F58" s="13">
        <f>IFERROR(__xludf.DUMMYFUNCTION("IFERROR(AVERAGE(QUERY(SORT(GOOGLEFINANCE(""NSE:""&amp;A58,""price"",TODAY()-150,TODAY()),1,0),""select Col2 limit 100"")), """")"),3947.5049999999983)</f>
        <v>3947.505</v>
      </c>
      <c r="G58" s="13">
        <f>IFERROR(__xludf.DUMMYFUNCTION("IFERROR(AVERAGE(QUERY(SORT(GOOGLEFINANCE(""NSE:""&amp;A58,""price"",TODAY()-300,TODAY()),1,0),""select Col2 limit 200"")), """")"),3977.500500000001)</f>
        <v>3977.5005</v>
      </c>
      <c r="H58" s="15" t="str">
        <f t="shared" si="1"/>
        <v>In Bull Run</v>
      </c>
      <c r="I58" s="16">
        <f t="shared" si="2"/>
        <v>1.998730107</v>
      </c>
      <c r="J58" s="7" t="str">
        <f>IFERROR(__xludf.DUMMYFUNCTION("IFERROR(IF(A58="""",""ENTER STOCK"",
  LET(
    raw_high, GOOGLEFINANCE(""NSE:"" &amp; A58, ""high"", TODAY()-365, TODAY()),
    high_date, IFERROR(TO_DATE(QUERY(raw_high, ""SELECT Col1 WHERE Col2 IS NOT NULL ORDER BY Col2 DESC LIMIT 1 LABEL Col1 ''"", 1))"&amp;", TODAY()-30),
    raw_data, IFERROR(GOOGLEFINANCE(""NSE:"" &amp; A58, ""close"", high_date, TODAY()), GOOGLEFINANCE(""NSE:"" &amp; A58,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58" s="7"/>
    </row>
    <row r="59">
      <c r="A59" s="8" t="s">
        <v>70</v>
      </c>
      <c r="B59" s="9">
        <v>3.77213433593E9</v>
      </c>
      <c r="C59" s="9">
        <v>223.11</v>
      </c>
      <c r="D59" s="12">
        <f>IFERROR(__xludf.DUMMYFUNCTION("GOOGLEFINANCE(""NSE:""&amp;A59,""price"")"),222.76)</f>
        <v>222.76</v>
      </c>
      <c r="E59" s="13">
        <f>IFERROR(__xludf.DUMMYFUNCTION("IFERROR(AVERAGE(QUERY(SORT(GOOGLEFINANCE(""NSE:""&amp;A59,""price"",TODAY()-75,TODAY()),1,0),""select Col2 limit 50"")), """")"),204.35920000000002)</f>
        <v>204.3592</v>
      </c>
      <c r="F59" s="13">
        <f>IFERROR(__xludf.DUMMYFUNCTION("IFERROR(AVERAGE(QUERY(SORT(GOOGLEFINANCE(""NSE:""&amp;A59,""price"",TODAY()-150,TODAY()),1,0),""select Col2 limit 100"")), """")"),161.0915)</f>
        <v>161.0915</v>
      </c>
      <c r="G59" s="13">
        <f>IFERROR(__xludf.DUMMYFUNCTION("IFERROR(AVERAGE(QUERY(SORT(GOOGLEFINANCE(""NSE:""&amp;A59,""price"",TODAY()-300,TODAY()),1,0),""select Col2 limit 200"")), """")"),115.42035)</f>
        <v>115.42035</v>
      </c>
      <c r="H59" s="15" t="str">
        <f t="shared" si="1"/>
        <v>Unconfirmed</v>
      </c>
      <c r="I59" s="16">
        <f t="shared" si="2"/>
        <v>92.99889491</v>
      </c>
      <c r="J59" s="7" t="str">
        <f>IFERROR(__xludf.DUMMYFUNCTION("IFERROR(IF(A59="""",""ENTER STOCK"",
  LET(
    raw_high, GOOGLEFINANCE(""NSE:"" &amp; A59, ""high"", TODAY()-365, TODAY()),
    high_date, IFERROR(TO_DATE(QUERY(raw_high, ""SELECT Col1 WHERE Col2 IS NOT NULL ORDER BY Col2 DESC LIMIT 1 LABEL Col1 ''"", 1))"&amp;", TODAY()-30),
    raw_data, IFERROR(GOOGLEFINANCE(""NSE:"" &amp; A59, ""close"", high_date, TODAY()), GOOGLEFINANCE(""NSE:"" &amp; A59,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59" s="7"/>
    </row>
    <row r="60">
      <c r="A60" s="8" t="s">
        <v>71</v>
      </c>
      <c r="B60" s="9">
        <v>3.73171261825E9</v>
      </c>
      <c r="C60" s="9">
        <v>391.15</v>
      </c>
      <c r="D60" s="12">
        <f>IFERROR(__xludf.DUMMYFUNCTION("GOOGLEFINANCE(""NSE:""&amp;A60,""price"")"),392.1)</f>
        <v>392.1</v>
      </c>
      <c r="E60" s="13">
        <f>IFERROR(__xludf.DUMMYFUNCTION("IFERROR(AVERAGE(QUERY(SORT(GOOGLEFINANCE(""NSE:""&amp;A60,""price"",TODAY()-75,TODAY()),1,0),""select Col2 limit 50"")), """")"),390.7749999999999)</f>
        <v>390.775</v>
      </c>
      <c r="F60" s="13">
        <f>IFERROR(__xludf.DUMMYFUNCTION("IFERROR(AVERAGE(QUERY(SORT(GOOGLEFINANCE(""NSE:""&amp;A60,""price"",TODAY()-150,TODAY()),1,0),""select Col2 limit 100"")), """")"),383.48450000000014)</f>
        <v>383.4845</v>
      </c>
      <c r="G60" s="13">
        <f>IFERROR(__xludf.DUMMYFUNCTION("IFERROR(AVERAGE(QUERY(SORT(GOOGLEFINANCE(""NSE:""&amp;A60,""price"",TODAY()-300,TODAY()),1,0),""select Col2 limit 200"")), """")"),401.9840999999999)</f>
        <v>401.9841</v>
      </c>
      <c r="H60" s="15" t="str">
        <f t="shared" si="1"/>
        <v>Unconfirmed</v>
      </c>
      <c r="I60" s="16">
        <f t="shared" si="2"/>
        <v>-2.458828595</v>
      </c>
      <c r="J60" s="7" t="str">
        <f>IFERROR(__xludf.DUMMYFUNCTION("IFERROR(IF(A60="""",""ENTER STOCK"",
  LET(
    raw_high, GOOGLEFINANCE(""NSE:"" &amp; A60, ""high"", TODAY()-365, TODAY()),
    high_date, IFERROR(TO_DATE(QUERY(raw_high, ""SELECT Col1 WHERE Col2 IS NOT NULL ORDER BY Col2 DESC LIMIT 1 LABEL Col1 ''"", 1))"&amp;", TODAY()-30),
    raw_data, IFERROR(GOOGLEFINANCE(""NSE:"" &amp; A60, ""close"", high_date, TODAY()), GOOGLEFINANCE(""NSE:"" &amp; A60,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60" s="7"/>
    </row>
    <row r="61">
      <c r="A61" s="8" t="s">
        <v>72</v>
      </c>
      <c r="B61" s="9">
        <v>3.65394287545E9</v>
      </c>
      <c r="C61" s="9">
        <v>609.5</v>
      </c>
      <c r="D61" s="12">
        <f>IFERROR(__xludf.DUMMYFUNCTION("GOOGLEFINANCE(""NSE:""&amp;A61,""price"")"),609.0)</f>
        <v>609</v>
      </c>
      <c r="E61" s="13">
        <f>IFERROR(__xludf.DUMMYFUNCTION("IFERROR(AVERAGE(QUERY(SORT(GOOGLEFINANCE(""NSE:""&amp;A61,""price"",TODAY()-75,TODAY()),1,0),""select Col2 limit 50"")), """")"),590.5719999999998)</f>
        <v>590.572</v>
      </c>
      <c r="F61" s="13">
        <f>IFERROR(__xludf.DUMMYFUNCTION("IFERROR(AVERAGE(QUERY(SORT(GOOGLEFINANCE(""NSE:""&amp;A61,""price"",TODAY()-150,TODAY()),1,0),""select Col2 limit 100"")), """")"),562.5074999999998)</f>
        <v>562.5075</v>
      </c>
      <c r="G61" s="13">
        <f>IFERROR(__xludf.DUMMYFUNCTION("IFERROR(AVERAGE(QUERY(SORT(GOOGLEFINANCE(""NSE:""&amp;A61,""price"",TODAY()-300,TODAY()),1,0),""select Col2 limit 200"")), """")"),523.7272499999999)</f>
        <v>523.72725</v>
      </c>
      <c r="H61" s="15" t="str">
        <f t="shared" si="1"/>
        <v>Unconfirmed</v>
      </c>
      <c r="I61" s="16">
        <f t="shared" si="2"/>
        <v>16.28190055</v>
      </c>
      <c r="J61" s="7" t="str">
        <f>IFERROR(__xludf.DUMMYFUNCTION("IFERROR(IF(A61="""",""ENTER STOCK"",
  LET(
    raw_high, GOOGLEFINANCE(""NSE:"" &amp; A61, ""high"", TODAY()-365, TODAY()),
    high_date, IFERROR(TO_DATE(QUERY(raw_high, ""SELECT Col1 WHERE Col2 IS NOT NULL ORDER BY Col2 DESC LIMIT 1 LABEL Col1 ''"", 1))"&amp;", TODAY()-30),
    raw_data, IFERROR(GOOGLEFINANCE(""NSE:"" &amp; A61, ""close"", high_date, TODAY()), GOOGLEFINANCE(""NSE:"" &amp; A61,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61" s="7"/>
    </row>
    <row r="62">
      <c r="A62" s="8" t="s">
        <v>73</v>
      </c>
      <c r="B62" s="9">
        <v>3.5438081586E9</v>
      </c>
      <c r="C62" s="9">
        <v>720.05</v>
      </c>
      <c r="D62" s="12">
        <f>IFERROR(__xludf.DUMMYFUNCTION("GOOGLEFINANCE(""NSE:""&amp;A62,""price"")"),720.0)</f>
        <v>720</v>
      </c>
      <c r="E62" s="13">
        <f>IFERROR(__xludf.DUMMYFUNCTION("IFERROR(AVERAGE(QUERY(SORT(GOOGLEFINANCE(""NSE:""&amp;A62,""price"",TODAY()-75,TODAY()),1,0),""select Col2 limit 50"")), """")"),684.575)</f>
        <v>684.575</v>
      </c>
      <c r="F62" s="13">
        <f>IFERROR(__xludf.DUMMYFUNCTION("IFERROR(AVERAGE(QUERY(SORT(GOOGLEFINANCE(""NSE:""&amp;A62,""price"",TODAY()-150,TODAY()),1,0),""select Col2 limit 100"")), """")"),610.9069999999997)</f>
        <v>610.907</v>
      </c>
      <c r="G62" s="13">
        <f>IFERROR(__xludf.DUMMYFUNCTION("IFERROR(AVERAGE(QUERY(SORT(GOOGLEFINANCE(""NSE:""&amp;A62,""price"",TODAY()-300,TODAY()),1,0),""select Col2 limit 200"")), """")"),591.5232499999998)</f>
        <v>591.52325</v>
      </c>
      <c r="H62" s="15" t="str">
        <f t="shared" si="1"/>
        <v>Unconfirmed</v>
      </c>
      <c r="I62" s="16">
        <f t="shared" si="2"/>
        <v>21.719645</v>
      </c>
      <c r="J62" s="7" t="str">
        <f>IFERROR(__xludf.DUMMYFUNCTION("IFERROR(IF(A62="""",""ENTER STOCK"",
  LET(
    raw_high, GOOGLEFINANCE(""NSE:"" &amp; A62, ""high"", TODAY()-365, TODAY()),
    high_date, IFERROR(TO_DATE(QUERY(raw_high, ""SELECT Col1 WHERE Col2 IS NOT NULL ORDER BY Col2 DESC LIMIT 1 LABEL Col1 ''"", 1))"&amp;", TODAY()-30),
    raw_data, IFERROR(GOOGLEFINANCE(""NSE:"" &amp; A62, ""close"", high_date, TODAY()), GOOGLEFINANCE(""NSE:"" &amp; A62,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62" s="7"/>
    </row>
    <row r="63">
      <c r="A63" s="8" t="s">
        <v>74</v>
      </c>
      <c r="B63" s="9">
        <v>3.5428216995E9</v>
      </c>
      <c r="C63" s="9">
        <v>152.39</v>
      </c>
      <c r="D63" s="12">
        <f>IFERROR(__xludf.DUMMYFUNCTION("GOOGLEFINANCE(""NSE:""&amp;A63,""price"")"),152.25)</f>
        <v>152.25</v>
      </c>
      <c r="E63" s="13">
        <f>IFERROR(__xludf.DUMMYFUNCTION("IFERROR(AVERAGE(QUERY(SORT(GOOGLEFINANCE(""NSE:""&amp;A63,""price"",TODAY()-75,TODAY()),1,0),""select Col2 limit 50"")), """")"),167.83520000000004)</f>
        <v>167.8352</v>
      </c>
      <c r="F63" s="13">
        <f>IFERROR(__xludf.DUMMYFUNCTION("IFERROR(AVERAGE(QUERY(SORT(GOOGLEFINANCE(""NSE:""&amp;A63,""price"",TODAY()-150,TODAY()),1,0),""select Col2 limit 100"")), """")"),159.47140000000002)</f>
        <v>159.4714</v>
      </c>
      <c r="G63" s="13">
        <f>IFERROR(__xludf.DUMMYFUNCTION("IFERROR(AVERAGE(QUERY(SORT(GOOGLEFINANCE(""NSE:""&amp;A63,""price"",TODAY()-300,TODAY()),1,0),""select Col2 limit 200"")), """")"),156.30910000000003)</f>
        <v>156.3091</v>
      </c>
      <c r="H63" s="15" t="str">
        <f t="shared" si="1"/>
        <v>In Bear Run</v>
      </c>
      <c r="I63" s="16">
        <f t="shared" si="2"/>
        <v>-2.596841771</v>
      </c>
      <c r="J63" s="7" t="str">
        <f>IFERROR(__xludf.DUMMYFUNCTION("IFERROR(IF(A63="""",""ENTER STOCK"",
  LET(
    raw_high, GOOGLEFINANCE(""NSE:"" &amp; A63, ""high"", TODAY()-365, TODAY()),
    high_date, IFERROR(TO_DATE(QUERY(raw_high, ""SELECT Col1 WHERE Col2 IS NOT NULL ORDER BY Col2 DESC LIMIT 1 LABEL Col1 ''"", 1))"&amp;", TODAY()-30),
    raw_data, IFERROR(GOOGLEFINANCE(""NSE:"" &amp; A63, ""close"", high_date, TODAY()), GOOGLEFINANCE(""NSE:"" &amp; A63,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63" s="7"/>
    </row>
    <row r="64">
      <c r="A64" s="8" t="s">
        <v>75</v>
      </c>
      <c r="B64" s="9">
        <v>3.526080736E9</v>
      </c>
      <c r="C64" s="9">
        <v>1029.5</v>
      </c>
      <c r="D64" s="12">
        <f>IFERROR(__xludf.DUMMYFUNCTION("GOOGLEFINANCE(""NSE:""&amp;A64,""price"")"),1036.0)</f>
        <v>1036</v>
      </c>
      <c r="E64" s="13">
        <f>IFERROR(__xludf.DUMMYFUNCTION("IFERROR(AVERAGE(QUERY(SORT(GOOGLEFINANCE(""NSE:""&amp;A64,""price"",TODAY()-75,TODAY()),1,0),""select Col2 limit 50"")), """")"),992.4250000000002)</f>
        <v>992.425</v>
      </c>
      <c r="F64" s="13">
        <f>IFERROR(__xludf.DUMMYFUNCTION("IFERROR(AVERAGE(QUERY(SORT(GOOGLEFINANCE(""NSE:""&amp;A64,""price"",TODAY()-150,TODAY()),1,0),""select Col2 limit 100"")), """")"),1007.9539999999998)</f>
        <v>1007.954</v>
      </c>
      <c r="G64" s="13">
        <f>IFERROR(__xludf.DUMMYFUNCTION("IFERROR(AVERAGE(QUERY(SORT(GOOGLEFINANCE(""NSE:""&amp;A64,""price"",TODAY()-300,TODAY()),1,0),""select Col2 limit 200"")), """")"),946.1650000000003)</f>
        <v>946.165</v>
      </c>
      <c r="H64" s="15" t="str">
        <f t="shared" si="1"/>
        <v>In Bull Run</v>
      </c>
      <c r="I64" s="16">
        <f t="shared" si="2"/>
        <v>9.494644169</v>
      </c>
      <c r="J64" s="7" t="str">
        <f>IFERROR(__xludf.DUMMYFUNCTION("IFERROR(IF(A64="""",""ENTER STOCK"",
  LET(
    raw_high, GOOGLEFINANCE(""NSE:"" &amp; A64, ""high"", TODAY()-365, TODAY()),
    high_date, IFERROR(TO_DATE(QUERY(raw_high, ""SELECT Col1 WHERE Col2 IS NOT NULL ORDER BY Col2 DESC LIMIT 1 LABEL Col1 ''"", 1))"&amp;", TODAY()-30),
    raw_data, IFERROR(GOOGLEFINANCE(""NSE:"" &amp; A64, ""close"", high_date, TODAY()), GOOGLEFINANCE(""NSE:"" &amp; A64,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64" s="7"/>
    </row>
    <row r="65">
      <c r="A65" s="8" t="s">
        <v>76</v>
      </c>
      <c r="B65" s="9">
        <v>3.5230615367E9</v>
      </c>
      <c r="C65" s="9">
        <v>3428.3</v>
      </c>
      <c r="D65" s="12">
        <f>IFERROR(__xludf.DUMMYFUNCTION("GOOGLEFINANCE(""NSE:""&amp;A65,""price"")"),3422.4)</f>
        <v>3422.4</v>
      </c>
      <c r="E65" s="13">
        <f>IFERROR(__xludf.DUMMYFUNCTION("IFERROR(AVERAGE(QUERY(SORT(GOOGLEFINANCE(""NSE:""&amp;A65,""price"",TODAY()-75,TODAY()),1,0),""select Col2 limit 50"")), """")"),3194.377999999999)</f>
        <v>3194.378</v>
      </c>
      <c r="F65" s="13">
        <f>IFERROR(__xludf.DUMMYFUNCTION("IFERROR(AVERAGE(QUERY(SORT(GOOGLEFINANCE(""NSE:""&amp;A65,""price"",TODAY()-150,TODAY()),1,0),""select Col2 limit 100"")), """")"),3157.314999999998)</f>
        <v>3157.315</v>
      </c>
      <c r="G65" s="13">
        <f>IFERROR(__xludf.DUMMYFUNCTION("IFERROR(AVERAGE(QUERY(SORT(GOOGLEFINANCE(""NSE:""&amp;A65,""price"",TODAY()-300,TODAY()),1,0),""select Col2 limit 200"")), """")"),3361.3554999999974)</f>
        <v>3361.3555</v>
      </c>
      <c r="H65" s="15" t="str">
        <f t="shared" si="1"/>
        <v>In Bull Run</v>
      </c>
      <c r="I65" s="16">
        <f t="shared" si="2"/>
        <v>1.816067952</v>
      </c>
      <c r="J65" s="7" t="str">
        <f>IFERROR(__xludf.DUMMYFUNCTION("IFERROR(IF(A65="""",""ENTER STOCK"",
  LET(
    raw_high, GOOGLEFINANCE(""NSE:"" &amp; A65, ""high"", TODAY()-365, TODAY()),
    high_date, IFERROR(TO_DATE(QUERY(raw_high, ""SELECT Col1 WHERE Col2 IS NOT NULL ORDER BY Col2 DESC LIMIT 1 LABEL Col1 ''"", 1))"&amp;", TODAY()-30),
    raw_data, IFERROR(GOOGLEFINANCE(""NSE:"" &amp; A65, ""close"", high_date, TODAY()), GOOGLEFINANCE(""NSE:"" &amp; A65,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65" s="7"/>
    </row>
    <row r="66">
      <c r="A66" s="8" t="s">
        <v>77</v>
      </c>
      <c r="B66" s="9">
        <v>3.5174988765E9</v>
      </c>
      <c r="C66" s="9">
        <v>5580.0</v>
      </c>
      <c r="D66" s="12">
        <f>IFERROR(__xludf.DUMMYFUNCTION("GOOGLEFINANCE(""NSE:""&amp;A66,""price"")"),5576.0)</f>
        <v>5576</v>
      </c>
      <c r="E66" s="13">
        <f>IFERROR(__xludf.DUMMYFUNCTION("IFERROR(AVERAGE(QUERY(SORT(GOOGLEFINANCE(""NSE:""&amp;A66,""price"",TODAY()-75,TODAY()),1,0),""select Col2 limit 50"")), """")"),5082.0779999999995)</f>
        <v>5082.078</v>
      </c>
      <c r="F66" s="13">
        <f>IFERROR(__xludf.DUMMYFUNCTION("IFERROR(AVERAGE(QUERY(SORT(GOOGLEFINANCE(""NSE:""&amp;A66,""price"",TODAY()-150,TODAY()),1,0),""select Col2 limit 100"")), """")"),5070.713999999998)</f>
        <v>5070.714</v>
      </c>
      <c r="G66" s="13">
        <f>IFERROR(__xludf.DUMMYFUNCTION("IFERROR(AVERAGE(QUERY(SORT(GOOGLEFINANCE(""NSE:""&amp;A66,""price"",TODAY()-300,TODAY()),1,0),""select Col2 limit 200"")), """")"),5479.7755)</f>
        <v>5479.7755</v>
      </c>
      <c r="H66" s="15" t="str">
        <f t="shared" si="1"/>
        <v>In Bull Run</v>
      </c>
      <c r="I66" s="16">
        <f t="shared" si="2"/>
        <v>1.755993471</v>
      </c>
      <c r="J66" s="7" t="str">
        <f>IFERROR(__xludf.DUMMYFUNCTION("IFERROR(IF(A66="""",""ENTER STOCK"",
  LET(
    raw_high, GOOGLEFINANCE(""NSE:"" &amp; A66, ""high"", TODAY()-365, TODAY()),
    high_date, IFERROR(TO_DATE(QUERY(raw_high, ""SELECT Col1 WHERE Col2 IS NOT NULL ORDER BY Col2 DESC LIMIT 1 LABEL Col1 ''"", 1))"&amp;", TODAY()-30),
    raw_data, IFERROR(GOOGLEFINANCE(""NSE:"" &amp; A66, ""close"", high_date, TODAY()), GOOGLEFINANCE(""NSE:"" &amp; A66,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66" s="7"/>
    </row>
    <row r="67">
      <c r="A67" s="8" t="s">
        <v>78</v>
      </c>
      <c r="B67" s="9">
        <v>3.45959724885E9</v>
      </c>
      <c r="C67" s="9">
        <v>360.3</v>
      </c>
      <c r="D67" s="12">
        <f>IFERROR(__xludf.DUMMYFUNCTION("GOOGLEFINANCE(""NSE:""&amp;A67,""price"")"),371.1)</f>
        <v>371.1</v>
      </c>
      <c r="E67" s="13">
        <f>IFERROR(__xludf.DUMMYFUNCTION("IFERROR(AVERAGE(QUERY(SORT(GOOGLEFINANCE(""NSE:""&amp;A67,""price"",TODAY()-75,TODAY()),1,0),""select Col2 limit 50"")), """")"),283.22739999999993)</f>
        <v>283.2274</v>
      </c>
      <c r="F67" s="13">
        <f>IFERROR(__xludf.DUMMYFUNCTION("IFERROR(AVERAGE(QUERY(SORT(GOOGLEFINANCE(""NSE:""&amp;A67,""price"",TODAY()-150,TODAY()),1,0),""select Col2 limit 100"")), """")"),244.39110000000008)</f>
        <v>244.3911</v>
      </c>
      <c r="G67" s="13">
        <f>IFERROR(__xludf.DUMMYFUNCTION("IFERROR(AVERAGE(QUERY(SORT(GOOGLEFINANCE(""NSE:""&amp;A67,""price"",TODAY()-300,TODAY()),1,0),""select Col2 limit 200"")), """")"),233.71555000000006)</f>
        <v>233.71555</v>
      </c>
      <c r="H67" s="15" t="str">
        <f t="shared" si="1"/>
        <v>Unconfirmed</v>
      </c>
      <c r="I67" s="16">
        <f t="shared" si="2"/>
        <v>58.78275964</v>
      </c>
      <c r="J67" s="7" t="str">
        <f>IFERROR(__xludf.DUMMYFUNCTION("IFERROR(IF(A67="""",""ENTER STOCK"",
  LET(
    raw_high, GOOGLEFINANCE(""NSE:"" &amp; A67, ""high"", TODAY()-365, TODAY()),
    high_date, IFERROR(TO_DATE(QUERY(raw_high, ""SELECT Col1 WHERE Col2 IS NOT NULL ORDER BY Col2 DESC LIMIT 1 LABEL Col1 ''"", 1))"&amp;", TODAY()-30),
    raw_data, IFERROR(GOOGLEFINANCE(""NSE:"" &amp; A67, ""close"", high_date, TODAY()), GOOGLEFINANCE(""NSE:"" &amp; A67,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67" s="7"/>
    </row>
    <row r="68">
      <c r="A68" s="8" t="s">
        <v>79</v>
      </c>
      <c r="B68" s="9">
        <v>3.4204496668E9</v>
      </c>
      <c r="C68" s="9">
        <v>1511.5</v>
      </c>
      <c r="D68" s="12">
        <f>IFERROR(__xludf.DUMMYFUNCTION("GOOGLEFINANCE(""NSE:""&amp;A68,""price"")"),1516.0)</f>
        <v>1516</v>
      </c>
      <c r="E68" s="13">
        <f>IFERROR(__xludf.DUMMYFUNCTION("IFERROR(AVERAGE(QUERY(SORT(GOOGLEFINANCE(""NSE:""&amp;A68,""price"",TODAY()-75,TODAY()),1,0),""select Col2 limit 50"")), """")"),1200.7270000000003)</f>
        <v>1200.727</v>
      </c>
      <c r="F68" s="13">
        <f>IFERROR(__xludf.DUMMYFUNCTION("IFERROR(AVERAGE(QUERY(SORT(GOOGLEFINANCE(""NSE:""&amp;A68,""price"",TODAY()-150,TODAY()),1,0),""select Col2 limit 100"")), """")"),1041.6890000000005)</f>
        <v>1041.689</v>
      </c>
      <c r="G68" s="13">
        <f>IFERROR(__xludf.DUMMYFUNCTION("IFERROR(AVERAGE(QUERY(SORT(GOOGLEFINANCE(""NSE:""&amp;A68,""price"",TODAY()-300,TODAY()),1,0),""select Col2 limit 200"")), """")"),862.8725000000007)</f>
        <v>862.8725</v>
      </c>
      <c r="H68" s="15" t="str">
        <f t="shared" si="1"/>
        <v>Unconfirmed</v>
      </c>
      <c r="I68" s="16">
        <f t="shared" si="2"/>
        <v>75.69223727</v>
      </c>
      <c r="J68" s="7" t="str">
        <f>IFERROR(__xludf.DUMMYFUNCTION("IFERROR(IF(A68="""",""ENTER STOCK"",
  LET(
    raw_high, GOOGLEFINANCE(""NSE:"" &amp; A68, ""high"", TODAY()-365, TODAY()),
    high_date, IFERROR(TO_DATE(QUERY(raw_high, ""SELECT Col1 WHERE Col2 IS NOT NULL ORDER BY Col2 DESC LIMIT 1 LABEL Col1 ''"", 1))"&amp;", TODAY()-30),
    raw_data, IFERROR(GOOGLEFINANCE(""NSE:"" &amp; A68, ""close"", high_date, TODAY()), GOOGLEFINANCE(""NSE:"" &amp; A68,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68" s="7"/>
    </row>
    <row r="69">
      <c r="A69" s="8" t="s">
        <v>80</v>
      </c>
      <c r="B69" s="9">
        <v>3.4013124754E9</v>
      </c>
      <c r="C69" s="9">
        <v>4350.0</v>
      </c>
      <c r="D69" s="12">
        <f>IFERROR(__xludf.DUMMYFUNCTION("GOOGLEFINANCE(""NSE:""&amp;A69,""price"")"),4356.0)</f>
        <v>4356</v>
      </c>
      <c r="E69" s="13">
        <f>IFERROR(__xludf.DUMMYFUNCTION("IFERROR(AVERAGE(QUERY(SORT(GOOGLEFINANCE(""NSE:""&amp;A69,""price"",TODAY()-75,TODAY()),1,0),""select Col2 limit 50"")), """")"),4636.6359999999995)</f>
        <v>4636.636</v>
      </c>
      <c r="F69" s="13">
        <f>IFERROR(__xludf.DUMMYFUNCTION("IFERROR(AVERAGE(QUERY(SORT(GOOGLEFINANCE(""NSE:""&amp;A69,""price"",TODAY()-150,TODAY()),1,0),""select Col2 limit 100"")), """")"),4477.685000000001)</f>
        <v>4477.685</v>
      </c>
      <c r="G69" s="13">
        <f>IFERROR(__xludf.DUMMYFUNCTION("IFERROR(AVERAGE(QUERY(SORT(GOOGLEFINANCE(""NSE:""&amp;A69,""price"",TODAY()-300,TODAY()),1,0),""select Col2 limit 200"")), """")"),3828.3360000000002)</f>
        <v>3828.336</v>
      </c>
      <c r="H69" s="15" t="str">
        <f t="shared" si="1"/>
        <v>Unconfirmed</v>
      </c>
      <c r="I69" s="16">
        <f t="shared" si="2"/>
        <v>13.78311622</v>
      </c>
      <c r="J69" s="7" t="str">
        <f>IFERROR(__xludf.DUMMYFUNCTION("IFERROR(IF(A69="""",""ENTER STOCK"",
  LET(
    raw_high, GOOGLEFINANCE(""NSE:"" &amp; A69, ""high"", TODAY()-365, TODAY()),
    high_date, IFERROR(TO_DATE(QUERY(raw_high, ""SELECT Col1 WHERE Col2 IS NOT NULL ORDER BY Col2 DESC LIMIT 1 LABEL Col1 ''"", 1))"&amp;", TODAY()-30),
    raw_data, IFERROR(GOOGLEFINANCE(""NSE:"" &amp; A69, ""close"", high_date, TODAY()), GOOGLEFINANCE(""NSE:"" &amp; A69,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69" s="7"/>
    </row>
    <row r="70">
      <c r="A70" s="8" t="s">
        <v>81</v>
      </c>
      <c r="B70" s="9">
        <v>3.3880242475E9</v>
      </c>
      <c r="C70" s="9">
        <v>5368.0</v>
      </c>
      <c r="D70" s="12">
        <f>IFERROR(__xludf.DUMMYFUNCTION("GOOGLEFINANCE(""NSE:""&amp;A70,""price"")"),5325.0)</f>
        <v>5325</v>
      </c>
      <c r="E70" s="13">
        <f>IFERROR(__xludf.DUMMYFUNCTION("IFERROR(AVERAGE(QUERY(SORT(GOOGLEFINANCE(""NSE:""&amp;A70,""price"",TODAY()-75,TODAY()),1,0),""select Col2 limit 50"")), """")"),5529.86)</f>
        <v>5529.86</v>
      </c>
      <c r="F70" s="13">
        <f>IFERROR(__xludf.DUMMYFUNCTION("IFERROR(AVERAGE(QUERY(SORT(GOOGLEFINANCE(""NSE:""&amp;A70,""price"",TODAY()-150,TODAY()),1,0),""select Col2 limit 100"")), """")"),5470.305)</f>
        <v>5470.305</v>
      </c>
      <c r="G70" s="13">
        <f>IFERROR(__xludf.DUMMYFUNCTION("IFERROR(AVERAGE(QUERY(SORT(GOOGLEFINANCE(""NSE:""&amp;A70,""price"",TODAY()-300,TODAY()),1,0),""select Col2 limit 200"")), """")"),5545.905)</f>
        <v>5545.905</v>
      </c>
      <c r="H70" s="15" t="str">
        <f t="shared" si="1"/>
        <v>In Bear Run</v>
      </c>
      <c r="I70" s="16">
        <f t="shared" si="2"/>
        <v>-3.983209233</v>
      </c>
      <c r="J70" s="7" t="str">
        <f>IFERROR(__xludf.DUMMYFUNCTION("IFERROR(IF(A70="""",""ENTER STOCK"",
  LET(
    raw_high, GOOGLEFINANCE(""NSE:"" &amp; A70, ""high"", TODAY()-365, TODAY()),
    high_date, IFERROR(TO_DATE(QUERY(raw_high, ""SELECT Col1 WHERE Col2 IS NOT NULL ORDER BY Col2 DESC LIMIT 1 LABEL Col1 ''"", 1))"&amp;", TODAY()-30),
    raw_data, IFERROR(GOOGLEFINANCE(""NSE:"" &amp; A70, ""close"", high_date, TODAY()), GOOGLEFINANCE(""NSE:"" &amp; A70,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70" s="7"/>
    </row>
    <row r="71">
      <c r="A71" s="8" t="s">
        <v>82</v>
      </c>
      <c r="B71" s="9">
        <v>3.3340406979E9</v>
      </c>
      <c r="C71" s="9">
        <v>1700.0</v>
      </c>
      <c r="D71" s="12">
        <f>IFERROR(__xludf.DUMMYFUNCTION("GOOGLEFINANCE(""NSE:""&amp;A71,""price"")"),1698.0)</f>
        <v>1698</v>
      </c>
      <c r="E71" s="13">
        <f>IFERROR(__xludf.DUMMYFUNCTION("IFERROR(AVERAGE(QUERY(SORT(GOOGLEFINANCE(""NSE:""&amp;A71,""price"",TODAY()-75,TODAY()),1,0),""select Col2 limit 50"")), """")"),1784.3159999999998)</f>
        <v>1784.316</v>
      </c>
      <c r="F71" s="13">
        <f>IFERROR(__xludf.DUMMYFUNCTION("IFERROR(AVERAGE(QUERY(SORT(GOOGLEFINANCE(""NSE:""&amp;A71,""price"",TODAY()-150,TODAY()),1,0),""select Col2 limit 100"")), """")"),1699.6239999999993)</f>
        <v>1699.624</v>
      </c>
      <c r="G71" s="13">
        <f>IFERROR(__xludf.DUMMYFUNCTION("IFERROR(AVERAGE(QUERY(SORT(GOOGLEFINANCE(""NSE:""&amp;A71,""price"",TODAY()-300,TODAY()),1,0),""select Col2 limit 200"")), """")"),1587.0339999999997)</f>
        <v>1587.034</v>
      </c>
      <c r="H71" s="15" t="str">
        <f t="shared" si="1"/>
        <v>Unconfirmed</v>
      </c>
      <c r="I71" s="16">
        <f t="shared" si="2"/>
        <v>6.992036718</v>
      </c>
      <c r="J71" s="7" t="str">
        <f>IFERROR(__xludf.DUMMYFUNCTION("IFERROR(IF(A71="""",""ENTER STOCK"",
  LET(
    raw_high, GOOGLEFINANCE(""NSE:"" &amp; A71, ""high"", TODAY()-365, TODAY()),
    high_date, IFERROR(TO_DATE(QUERY(raw_high, ""SELECT Col1 WHERE Col2 IS NOT NULL ORDER BY Col2 DESC LIMIT 1 LABEL Col1 ''"", 1))"&amp;", TODAY()-30),
    raw_data, IFERROR(GOOGLEFINANCE(""NSE:"" &amp; A71, ""close"", high_date, TODAY()), GOOGLEFINANCE(""NSE:"" &amp; A71,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71" s="7"/>
    </row>
    <row r="72">
      <c r="A72" s="8" t="s">
        <v>83</v>
      </c>
      <c r="B72" s="9">
        <v>3.3148108522E9</v>
      </c>
      <c r="C72" s="9">
        <v>84.19</v>
      </c>
      <c r="D72" s="12">
        <f>IFERROR(__xludf.DUMMYFUNCTION("GOOGLEFINANCE(""NSE:""&amp;A72,""price"")"),84.12)</f>
        <v>84.12</v>
      </c>
      <c r="E72" s="13">
        <f>IFERROR(__xludf.DUMMYFUNCTION("IFERROR(AVERAGE(QUERY(SORT(GOOGLEFINANCE(""NSE:""&amp;A72,""price"",TODAY()-75,TODAY()),1,0),""select Col2 limit 50"")), """")"),59.3306)</f>
        <v>59.3306</v>
      </c>
      <c r="F72" s="13">
        <f>IFERROR(__xludf.DUMMYFUNCTION("IFERROR(AVERAGE(QUERY(SORT(GOOGLEFINANCE(""NSE:""&amp;A72,""price"",TODAY()-150,TODAY()),1,0),""select Col2 limit 100"")), """")"),50.3662)</f>
        <v>50.3662</v>
      </c>
      <c r="G72" s="13">
        <f>IFERROR(__xludf.DUMMYFUNCTION("IFERROR(AVERAGE(QUERY(SORT(GOOGLEFINANCE(""NSE:""&amp;A72,""price"",TODAY()-300,TODAY()),1,0),""select Col2 limit 200"")), """")"),45.9421)</f>
        <v>45.9421</v>
      </c>
      <c r="H72" s="15" t="str">
        <f t="shared" si="1"/>
        <v>Unconfirmed</v>
      </c>
      <c r="I72" s="16">
        <f t="shared" si="2"/>
        <v>83.10003243</v>
      </c>
      <c r="J72" s="7" t="str">
        <f>IFERROR(__xludf.DUMMYFUNCTION("IFERROR(IF(A72="""",""ENTER STOCK"",
  LET(
    raw_high, GOOGLEFINANCE(""NSE:"" &amp; A72, ""high"", TODAY()-365, TODAY()),
    high_date, IFERROR(TO_DATE(QUERY(raw_high, ""SELECT Col1 WHERE Col2 IS NOT NULL ORDER BY Col2 DESC LIMIT 1 LABEL Col1 ''"", 1))"&amp;", TODAY()-30),
    raw_data, IFERROR(GOOGLEFINANCE(""NSE:"" &amp; A72, ""close"", high_date, TODAY()), GOOGLEFINANCE(""NSE:"" &amp; A72,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72" s="7"/>
    </row>
    <row r="73">
      <c r="A73" s="8" t="s">
        <v>84</v>
      </c>
      <c r="B73" s="9">
        <v>3.21487557079E9</v>
      </c>
      <c r="C73" s="9">
        <v>187.38</v>
      </c>
      <c r="D73" s="12">
        <f>IFERROR(__xludf.DUMMYFUNCTION("GOOGLEFINANCE(""NSE:""&amp;A73,""price"")"),187.0)</f>
        <v>187</v>
      </c>
      <c r="E73" s="13">
        <f>IFERROR(__xludf.DUMMYFUNCTION("IFERROR(AVERAGE(QUERY(SORT(GOOGLEFINANCE(""NSE:""&amp;A73,""price"",TODAY()-75,TODAY()),1,0),""select Col2 limit 50"")), """")"),172.15600000000006)</f>
        <v>172.156</v>
      </c>
      <c r="F73" s="13">
        <f>IFERROR(__xludf.DUMMYFUNCTION("IFERROR(AVERAGE(QUERY(SORT(GOOGLEFINANCE(""NSE:""&amp;A73,""price"",TODAY()-150,TODAY()),1,0),""select Col2 limit 100"")), """")"),172.05310000000006)</f>
        <v>172.0531</v>
      </c>
      <c r="G73" s="13">
        <f>IFERROR(__xludf.DUMMYFUNCTION("IFERROR(AVERAGE(QUERY(SORT(GOOGLEFINANCE(""NSE:""&amp;A73,""price"",TODAY()-300,TODAY()),1,0),""select Col2 limit 200"")), """")"),169.01990000000006)</f>
        <v>169.0199</v>
      </c>
      <c r="H73" s="15" t="str">
        <f t="shared" si="1"/>
        <v>Unconfirmed</v>
      </c>
      <c r="I73" s="16">
        <f t="shared" si="2"/>
        <v>10.6378598</v>
      </c>
      <c r="J73" s="7" t="str">
        <f>IFERROR(__xludf.DUMMYFUNCTION("IFERROR(IF(A73="""",""ENTER STOCK"",
  LET(
    raw_high, GOOGLEFINANCE(""NSE:"" &amp; A73, ""high"", TODAY()-365, TODAY()),
    high_date, IFERROR(TO_DATE(QUERY(raw_high, ""SELECT Col1 WHERE Col2 IS NOT NULL ORDER BY Col2 DESC LIMIT 1 LABEL Col1 ''"", 1))"&amp;", TODAY()-30),
    raw_data, IFERROR(GOOGLEFINANCE(""NSE:"" &amp; A73, ""close"", high_date, TODAY()), GOOGLEFINANCE(""NSE:"" &amp; A73,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73" s="7"/>
    </row>
    <row r="74">
      <c r="A74" s="8" t="s">
        <v>85</v>
      </c>
      <c r="B74" s="9">
        <v>3.2011107187E9</v>
      </c>
      <c r="C74" s="9">
        <v>4478.1</v>
      </c>
      <c r="D74" s="12">
        <f>IFERROR(__xludf.DUMMYFUNCTION("GOOGLEFINANCE(""NSE:""&amp;A74,""price"")"),4464.0)</f>
        <v>4464</v>
      </c>
      <c r="E74" s="13">
        <f>IFERROR(__xludf.DUMMYFUNCTION("IFERROR(AVERAGE(QUERY(SORT(GOOGLEFINANCE(""NSE:""&amp;A74,""price"",TODAY()-75,TODAY()),1,0),""select Col2 limit 50"")), """")"),4066.12)</f>
        <v>4066.12</v>
      </c>
      <c r="F74" s="13">
        <f>IFERROR(__xludf.DUMMYFUNCTION("IFERROR(AVERAGE(QUERY(SORT(GOOGLEFINANCE(""NSE:""&amp;A74,""price"",TODAY()-150,TODAY()),1,0),""select Col2 limit 100"")), """")"),3902.602999999999)</f>
        <v>3902.603</v>
      </c>
      <c r="G74" s="13">
        <f>IFERROR(__xludf.DUMMYFUNCTION("IFERROR(AVERAGE(QUERY(SORT(GOOGLEFINANCE(""NSE:""&amp;A74,""price"",TODAY()-300,TODAY()),1,0),""select Col2 limit 200"")), """")"),4033.0109999999972)</f>
        <v>4033.011</v>
      </c>
      <c r="H74" s="15" t="str">
        <f t="shared" si="1"/>
        <v>Unconfirmed</v>
      </c>
      <c r="I74" s="16">
        <f t="shared" si="2"/>
        <v>10.68653173</v>
      </c>
      <c r="J74" s="7" t="str">
        <f>IFERROR(__xludf.DUMMYFUNCTION("IFERROR(IF(A74="""",""ENTER STOCK"",
  LET(
    raw_high, GOOGLEFINANCE(""NSE:"" &amp; A74, ""high"", TODAY()-365, TODAY()),
    high_date, IFERROR(TO_DATE(QUERY(raw_high, ""SELECT Col1 WHERE Col2 IS NOT NULL ORDER BY Col2 DESC LIMIT 1 LABEL Col1 ''"", 1))"&amp;", TODAY()-30),
    raw_data, IFERROR(GOOGLEFINANCE(""NSE:"" &amp; A74, ""close"", high_date, TODAY()), GOOGLEFINANCE(""NSE:"" &amp; A74,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74" s="7"/>
    </row>
    <row r="75">
      <c r="A75" s="8" t="s">
        <v>86</v>
      </c>
      <c r="B75" s="9">
        <v>3.1634967776E9</v>
      </c>
      <c r="C75" s="9">
        <v>382.05</v>
      </c>
      <c r="D75" s="12">
        <f>IFERROR(__xludf.DUMMYFUNCTION("GOOGLEFINANCE(""NSE:""&amp;A75,""price"")"),383.1)</f>
        <v>383.1</v>
      </c>
      <c r="E75" s="13">
        <f>IFERROR(__xludf.DUMMYFUNCTION("IFERROR(AVERAGE(QUERY(SORT(GOOGLEFINANCE(""NSE:""&amp;A75,""price"",TODAY()-75,TODAY()),1,0),""select Col2 limit 50"")), """")"),385.0280000000001)</f>
        <v>385.028</v>
      </c>
      <c r="F75" s="13">
        <f>IFERROR(__xludf.DUMMYFUNCTION("IFERROR(AVERAGE(QUERY(SORT(GOOGLEFINANCE(""NSE:""&amp;A75,""price"",TODAY()-150,TODAY()),1,0),""select Col2 limit 100"")), """")"),400.36249999999984)</f>
        <v>400.3625</v>
      </c>
      <c r="G75" s="13">
        <f>IFERROR(__xludf.DUMMYFUNCTION("IFERROR(AVERAGE(QUERY(SORT(GOOGLEFINANCE(""NSE:""&amp;A75,""price"",TODAY()-300,TODAY()),1,0),""select Col2 limit 200"")), """")"),390.47499999999985)</f>
        <v>390.475</v>
      </c>
      <c r="H75" s="15" t="str">
        <f t="shared" si="1"/>
        <v>In Bear Run</v>
      </c>
      <c r="I75" s="16">
        <f t="shared" si="2"/>
        <v>-1.888725271</v>
      </c>
      <c r="J75" s="7" t="str">
        <f>IFERROR(__xludf.DUMMYFUNCTION("IFERROR(IF(A75="""",""ENTER STOCK"",
  LET(
    raw_high, GOOGLEFINANCE(""NSE:"" &amp; A75, ""high"", TODAY()-365, TODAY()),
    high_date, IFERROR(TO_DATE(QUERY(raw_high, ""SELECT Col1 WHERE Col2 IS NOT NULL ORDER BY Col2 DESC LIMIT 1 LABEL Col1 ''"", 1))"&amp;", TODAY()-30),
    raw_data, IFERROR(GOOGLEFINANCE(""NSE:"" &amp; A75, ""close"", high_date, TODAY()), GOOGLEFINANCE(""NSE:"" &amp; A75,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75" s="7"/>
    </row>
    <row r="76">
      <c r="A76" s="8" t="s">
        <v>87</v>
      </c>
      <c r="B76" s="9">
        <v>3.1385417269E9</v>
      </c>
      <c r="C76" s="9">
        <v>1320.5</v>
      </c>
      <c r="D76" s="12">
        <f>IFERROR(__xludf.DUMMYFUNCTION("GOOGLEFINANCE(""NSE:""&amp;A76,""price"")"),1322.0)</f>
        <v>1322</v>
      </c>
      <c r="E76" s="13">
        <f>IFERROR(__xludf.DUMMYFUNCTION("IFERROR(AVERAGE(QUERY(SORT(GOOGLEFINANCE(""NSE:""&amp;A76,""price"",TODAY()-75,TODAY()),1,0),""select Col2 limit 50"")), """")"),1311.4360000000001)</f>
        <v>1311.436</v>
      </c>
      <c r="F76" s="13">
        <f>IFERROR(__xludf.DUMMYFUNCTION("IFERROR(AVERAGE(QUERY(SORT(GOOGLEFINANCE(""NSE:""&amp;A76,""price"",TODAY()-150,TODAY()),1,0),""select Col2 limit 100"")), """")"),1321.1650000000002)</f>
        <v>1321.165</v>
      </c>
      <c r="G76" s="13">
        <f>IFERROR(__xludf.DUMMYFUNCTION("IFERROR(AVERAGE(QUERY(SORT(GOOGLEFINANCE(""NSE:""&amp;A76,""price"",TODAY()-300,TODAY()),1,0),""select Col2 limit 200"")), """")"),1366.0349999999994)</f>
        <v>1366.035</v>
      </c>
      <c r="H76" s="15" t="str">
        <f t="shared" si="1"/>
        <v>Unconfirmed</v>
      </c>
      <c r="I76" s="16">
        <f t="shared" si="2"/>
        <v>-3.223563086</v>
      </c>
      <c r="J76" s="7" t="str">
        <f>IFERROR(__xludf.DUMMYFUNCTION("IFERROR(IF(A76="""",""ENTER STOCK"",
  LET(
    raw_high, GOOGLEFINANCE(""NSE:"" &amp; A76, ""high"", TODAY()-365, TODAY()),
    high_date, IFERROR(TO_DATE(QUERY(raw_high, ""SELECT Col1 WHERE Col2 IS NOT NULL ORDER BY Col2 DESC LIMIT 1 LABEL Col1 ''"", 1))"&amp;", TODAY()-30),
    raw_data, IFERROR(GOOGLEFINANCE(""NSE:"" &amp; A76, ""close"", high_date, TODAY()), GOOGLEFINANCE(""NSE:"" &amp; A76,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76" s="7"/>
    </row>
    <row r="77">
      <c r="A77" s="8" t="s">
        <v>88</v>
      </c>
      <c r="B77" s="9">
        <v>3.0315508846E9</v>
      </c>
      <c r="C77" s="9">
        <v>410.8</v>
      </c>
      <c r="D77" s="12">
        <f>IFERROR(__xludf.DUMMYFUNCTION("GOOGLEFINANCE(""NSE:""&amp;A77,""price"")"),410.9)</f>
        <v>410.9</v>
      </c>
      <c r="E77" s="13">
        <f>IFERROR(__xludf.DUMMYFUNCTION("IFERROR(AVERAGE(QUERY(SORT(GOOGLEFINANCE(""NSE:""&amp;A77,""price"",TODAY()-75,TODAY()),1,0),""select Col2 limit 50"")), """")"),408.2469999999999)</f>
        <v>408.247</v>
      </c>
      <c r="F77" s="13">
        <f>IFERROR(__xludf.DUMMYFUNCTION("IFERROR(AVERAGE(QUERY(SORT(GOOGLEFINANCE(""NSE:""&amp;A77,""price"",TODAY()-150,TODAY()),1,0),""select Col2 limit 100"")), """")"),418.3514999999999)</f>
        <v>418.3515</v>
      </c>
      <c r="G77" s="13">
        <f>IFERROR(__xludf.DUMMYFUNCTION("IFERROR(AVERAGE(QUERY(SORT(GOOGLEFINANCE(""NSE:""&amp;A77,""price"",TODAY()-300,TODAY()),1,0),""select Col2 limit 200"")), """")"),419.7347499999999)</f>
        <v>419.73475</v>
      </c>
      <c r="H77" s="15" t="str">
        <f t="shared" si="1"/>
        <v>Unconfirmed</v>
      </c>
      <c r="I77" s="16">
        <f t="shared" si="2"/>
        <v>-2.104841212</v>
      </c>
      <c r="J77" s="7" t="str">
        <f>IFERROR(__xludf.DUMMYFUNCTION("IFERROR(IF(A77="""",""ENTER STOCK"",
  LET(
    raw_high, GOOGLEFINANCE(""NSE:"" &amp; A77, ""high"", TODAY()-365, TODAY()),
    high_date, IFERROR(TO_DATE(QUERY(raw_high, ""SELECT Col1 WHERE Col2 IS NOT NULL ORDER BY Col2 DESC LIMIT 1 LABEL Col1 ''"", 1))"&amp;", TODAY()-30),
    raw_data, IFERROR(GOOGLEFINANCE(""NSE:"" &amp; A77, ""close"", high_date, TODAY()), GOOGLEFINANCE(""NSE:"" &amp; A77,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77" s="7"/>
    </row>
    <row r="78">
      <c r="A78" s="8" t="s">
        <v>89</v>
      </c>
      <c r="B78" s="9">
        <v>3.013508148E9</v>
      </c>
      <c r="C78" s="9">
        <v>11828.0</v>
      </c>
      <c r="D78" s="12">
        <f>IFERROR(__xludf.DUMMYFUNCTION("GOOGLEFINANCE(""NSE:""&amp;A78,""price"")"),11808.0)</f>
        <v>11808</v>
      </c>
      <c r="E78" s="13">
        <f>IFERROR(__xludf.DUMMYFUNCTION("IFERROR(AVERAGE(QUERY(SORT(GOOGLEFINANCE(""NSE:""&amp;A78,""price"",TODAY()-75,TODAY()),1,0),""select Col2 limit 50"")), """")"),10873.46)</f>
        <v>10873.46</v>
      </c>
      <c r="F78" s="13">
        <f>IFERROR(__xludf.DUMMYFUNCTION("IFERROR(AVERAGE(QUERY(SORT(GOOGLEFINANCE(""NSE:""&amp;A78,""price"",TODAY()-150,TODAY()),1,0),""select Col2 limit 100"")), """")"),9719.515)</f>
        <v>9719.515</v>
      </c>
      <c r="G78" s="13">
        <f>IFERROR(__xludf.DUMMYFUNCTION("IFERROR(AVERAGE(QUERY(SORT(GOOGLEFINANCE(""NSE:""&amp;A78,""price"",TODAY()-300,TODAY()),1,0),""select Col2 limit 200"")), """")"),8690.055)</f>
        <v>8690.055</v>
      </c>
      <c r="H78" s="15" t="str">
        <f t="shared" si="1"/>
        <v>Unconfirmed</v>
      </c>
      <c r="I78" s="16">
        <f t="shared" si="2"/>
        <v>35.87946221</v>
      </c>
      <c r="J78" s="7" t="str">
        <f>IFERROR(__xludf.DUMMYFUNCTION("IFERROR(IF(A78="""",""ENTER STOCK"",
  LET(
    raw_high, GOOGLEFINANCE(""NSE:"" &amp; A78, ""high"", TODAY()-365, TODAY()),
    high_date, IFERROR(TO_DATE(QUERY(raw_high, ""SELECT Col1 WHERE Col2 IS NOT NULL ORDER BY Col2 DESC LIMIT 1 LABEL Col1 ''"", 1))"&amp;", TODAY()-30),
    raw_data, IFERROR(GOOGLEFINANCE(""NSE:"" &amp; A78, ""close"", high_date, TODAY()), GOOGLEFINANCE(""NSE:"" &amp; A78,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78" s="7"/>
    </row>
    <row r="79">
      <c r="A79" s="8" t="s">
        <v>90</v>
      </c>
      <c r="B79" s="9">
        <v>3.007761654E9</v>
      </c>
      <c r="C79" s="9">
        <v>13834.0</v>
      </c>
      <c r="D79" s="12">
        <f>IFERROR(__xludf.DUMMYFUNCTION("GOOGLEFINANCE(""NSE:""&amp;A79,""price"")"),13888.0)</f>
        <v>13888</v>
      </c>
      <c r="E79" s="13">
        <f>IFERROR(__xludf.DUMMYFUNCTION("IFERROR(AVERAGE(QUERY(SORT(GOOGLEFINANCE(""NSE:""&amp;A79,""price"",TODAY()-75,TODAY()),1,0),""select Col2 limit 50"")), """")"),13754.68)</f>
        <v>13754.68</v>
      </c>
      <c r="F79" s="13">
        <f>IFERROR(__xludf.DUMMYFUNCTION("IFERROR(AVERAGE(QUERY(SORT(GOOGLEFINANCE(""NSE:""&amp;A79,""price"",TODAY()-150,TODAY()),1,0),""select Col2 limit 100"")), """")"),13431.74)</f>
        <v>13431.74</v>
      </c>
      <c r="G79" s="13">
        <f>IFERROR(__xludf.DUMMYFUNCTION("IFERROR(AVERAGE(QUERY(SORT(GOOGLEFINANCE(""NSE:""&amp;A79,""price"",TODAY()-300,TODAY()),1,0),""select Col2 limit 200"")), """")"),14505.635)</f>
        <v>14505.635</v>
      </c>
      <c r="H79" s="15" t="str">
        <f t="shared" si="1"/>
        <v>Unconfirmed</v>
      </c>
      <c r="I79" s="16">
        <f t="shared" si="2"/>
        <v>-4.257897017</v>
      </c>
      <c r="J79" s="7" t="str">
        <f>IFERROR(__xludf.DUMMYFUNCTION("IFERROR(IF(A79="""",""ENTER STOCK"",
  LET(
    raw_high, GOOGLEFINANCE(""NSE:"" &amp; A79, ""high"", TODAY()-365, TODAY()),
    high_date, IFERROR(TO_DATE(QUERY(raw_high, ""SELECT Col1 WHERE Col2 IS NOT NULL ORDER BY Col2 DESC LIMIT 1 LABEL Col1 ''"", 1))"&amp;", TODAY()-30),
    raw_data, IFERROR(GOOGLEFINANCE(""NSE:"" &amp; A79, ""close"", high_date, TODAY()), GOOGLEFINANCE(""NSE:"" &amp; A79,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79" s="7"/>
    </row>
    <row r="80">
      <c r="A80" s="8" t="s">
        <v>91</v>
      </c>
      <c r="B80" s="9">
        <v>2.9881579589E9</v>
      </c>
      <c r="C80" s="9">
        <v>373.5</v>
      </c>
      <c r="D80" s="12">
        <f>IFERROR(__xludf.DUMMYFUNCTION("GOOGLEFINANCE(""NSE:""&amp;A80,""price"")"),372.45)</f>
        <v>372.45</v>
      </c>
      <c r="E80" s="13">
        <f>IFERROR(__xludf.DUMMYFUNCTION("IFERROR(AVERAGE(QUERY(SORT(GOOGLEFINANCE(""NSE:""&amp;A80,""price"",TODAY()-75,TODAY()),1,0),""select Col2 limit 50"")), """")"),393.13400000000007)</f>
        <v>393.134</v>
      </c>
      <c r="F80" s="13">
        <f>IFERROR(__xludf.DUMMYFUNCTION("IFERROR(AVERAGE(QUERY(SORT(GOOGLEFINANCE(""NSE:""&amp;A80,""price"",TODAY()-150,TODAY()),1,0),""select Col2 limit 100"")), """")"),381.1285000000002)</f>
        <v>381.1285</v>
      </c>
      <c r="G80" s="13">
        <f>IFERROR(__xludf.DUMMYFUNCTION("IFERROR(AVERAGE(QUERY(SORT(GOOGLEFINANCE(""NSE:""&amp;A80,""price"",TODAY()-300,TODAY()),1,0),""select Col2 limit 200"")), """")"),415.91724999999985)</f>
        <v>415.91725</v>
      </c>
      <c r="H80" s="15" t="str">
        <f t="shared" si="1"/>
        <v>Unconfirmed</v>
      </c>
      <c r="I80" s="16">
        <f t="shared" si="2"/>
        <v>-10.45093706</v>
      </c>
      <c r="J80" s="7" t="str">
        <f>IFERROR(__xludf.DUMMYFUNCTION("IFERROR(IF(A80="""",""ENTER STOCK"",
  LET(
    raw_high, GOOGLEFINANCE(""NSE:"" &amp; A80, ""high"", TODAY()-365, TODAY()),
    high_date, IFERROR(TO_DATE(QUERY(raw_high, ""SELECT Col1 WHERE Col2 IS NOT NULL ORDER BY Col2 DESC LIMIT 1 LABEL Col1 ''"", 1))"&amp;", TODAY()-30),
    raw_data, IFERROR(GOOGLEFINANCE(""NSE:"" &amp; A80, ""close"", high_date, TODAY()), GOOGLEFINANCE(""NSE:"" &amp; A80,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80" s="7"/>
    </row>
    <row r="81">
      <c r="A81" s="8" t="s">
        <v>92</v>
      </c>
      <c r="B81" s="9">
        <v>2.9809545995E9</v>
      </c>
      <c r="C81" s="9">
        <v>5056.2</v>
      </c>
      <c r="D81" s="12">
        <f>IFERROR(__xludf.DUMMYFUNCTION("GOOGLEFINANCE(""NSE:""&amp;A81,""price"")"),5068.4)</f>
        <v>5068.4</v>
      </c>
      <c r="E81" s="13">
        <f>IFERROR(__xludf.DUMMYFUNCTION("IFERROR(AVERAGE(QUERY(SORT(GOOGLEFINANCE(""NSE:""&amp;A81,""price"",TODAY()-75,TODAY()),1,0),""select Col2 limit 50"")), """")"),4591.474)</f>
        <v>4591.474</v>
      </c>
      <c r="F81" s="13">
        <f>IFERROR(__xludf.DUMMYFUNCTION("IFERROR(AVERAGE(QUERY(SORT(GOOGLEFINANCE(""NSE:""&amp;A81,""price"",TODAY()-150,TODAY()),1,0),""select Col2 limit 100"")), """")"),4414.760999999999)</f>
        <v>4414.761</v>
      </c>
      <c r="G81" s="13">
        <f>IFERROR(__xludf.DUMMYFUNCTION("IFERROR(AVERAGE(QUERY(SORT(GOOGLEFINANCE(""NSE:""&amp;A81,""price"",TODAY()-300,TODAY()),1,0),""select Col2 limit 200"")), """")"),4215.031999999998)</f>
        <v>4215.032</v>
      </c>
      <c r="H81" s="15" t="str">
        <f t="shared" si="1"/>
        <v>Unconfirmed</v>
      </c>
      <c r="I81" s="16">
        <f t="shared" si="2"/>
        <v>20.24582494</v>
      </c>
      <c r="J81" s="7" t="str">
        <f>IFERROR(__xludf.DUMMYFUNCTION("IFERROR(IF(A81="""",""ENTER STOCK"",
  LET(
    raw_high, GOOGLEFINANCE(""NSE:"" &amp; A81, ""high"", TODAY()-365, TODAY()),
    high_date, IFERROR(TO_DATE(QUERY(raw_high, ""SELECT Col1 WHERE Col2 IS NOT NULL ORDER BY Col2 DESC LIMIT 1 LABEL Col1 ''"", 1))"&amp;", TODAY()-30),
    raw_data, IFERROR(GOOGLEFINANCE(""NSE:"" &amp; A81, ""close"", high_date, TODAY()), GOOGLEFINANCE(""NSE:"" &amp; A81,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81" s="7"/>
    </row>
    <row r="82">
      <c r="A82" s="8" t="s">
        <v>93</v>
      </c>
      <c r="B82" s="9">
        <v>2.95343529E9</v>
      </c>
      <c r="C82" s="9">
        <v>16691.0</v>
      </c>
      <c r="D82" s="12">
        <f>IFERROR(__xludf.DUMMYFUNCTION("GOOGLEFINANCE(""NSE:""&amp;A82,""price"")"),16699.0)</f>
        <v>16699</v>
      </c>
      <c r="E82" s="13">
        <f>IFERROR(__xludf.DUMMYFUNCTION("IFERROR(AVERAGE(QUERY(SORT(GOOGLEFINANCE(""NSE:""&amp;A82,""price"",TODAY()-75,TODAY()),1,0),""select Col2 limit 50"")), """")"),14950.84)</f>
        <v>14950.84</v>
      </c>
      <c r="F82" s="13">
        <f>IFERROR(__xludf.DUMMYFUNCTION("IFERROR(AVERAGE(QUERY(SORT(GOOGLEFINANCE(""NSE:""&amp;A82,""price"",TODAY()-150,TODAY()),1,0),""select Col2 limit 100"")), """")"),13359.215)</f>
        <v>13359.215</v>
      </c>
      <c r="G82" s="13">
        <f>IFERROR(__xludf.DUMMYFUNCTION("IFERROR(AVERAGE(QUERY(SORT(GOOGLEFINANCE(""NSE:""&amp;A82,""price"",TODAY()-300,TODAY()),1,0),""select Col2 limit 200"")), """")"),11150.485)</f>
        <v>11150.485</v>
      </c>
      <c r="H82" s="15" t="str">
        <f t="shared" si="1"/>
        <v>Unconfirmed</v>
      </c>
      <c r="I82" s="16">
        <f t="shared" si="2"/>
        <v>49.76030191</v>
      </c>
      <c r="J82" s="7" t="str">
        <f>IFERROR(__xludf.DUMMYFUNCTION("IFERROR(IF(A82="""",""ENTER STOCK"",
  LET(
    raw_high, GOOGLEFINANCE(""NSE:"" &amp; A82, ""high"", TODAY()-365, TODAY()),
    high_date, IFERROR(TO_DATE(QUERY(raw_high, ""SELECT Col1 WHERE Col2 IS NOT NULL ORDER BY Col2 DESC LIMIT 1 LABEL Col1 ''"", 1))"&amp;", TODAY()-30),
    raw_data, IFERROR(GOOGLEFINANCE(""NSE:"" &amp; A82, ""close"", high_date, TODAY()), GOOGLEFINANCE(""NSE:"" &amp; A82,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82" s="7"/>
    </row>
    <row r="83">
      <c r="A83" s="8" t="s">
        <v>94</v>
      </c>
      <c r="B83" s="9">
        <v>2.950610339E9</v>
      </c>
      <c r="C83" s="9">
        <v>5790.0</v>
      </c>
      <c r="D83" s="12">
        <f>IFERROR(__xludf.DUMMYFUNCTION("GOOGLEFINANCE(""NSE:""&amp;A83,""price"")"),5775.0)</f>
        <v>5775</v>
      </c>
      <c r="E83" s="13">
        <f>IFERROR(__xludf.DUMMYFUNCTION("IFERROR(AVERAGE(QUERY(SORT(GOOGLEFINANCE(""NSE:""&amp;A83,""price"",TODAY()-75,TODAY()),1,0),""select Col2 limit 50"")), """")"),5116.882000000001)</f>
        <v>5116.882</v>
      </c>
      <c r="F83" s="13">
        <f>IFERROR(__xludf.DUMMYFUNCTION("IFERROR(AVERAGE(QUERY(SORT(GOOGLEFINANCE(""NSE:""&amp;A83,""price"",TODAY()-150,TODAY()),1,0),""select Col2 limit 100"")), """")"),5110.887000000001)</f>
        <v>5110.887</v>
      </c>
      <c r="G83" s="13">
        <f>IFERROR(__xludf.DUMMYFUNCTION("IFERROR(AVERAGE(QUERY(SORT(GOOGLEFINANCE(""NSE:""&amp;A83,""price"",TODAY()-300,TODAY()),1,0),""select Col2 limit 200"")), """")"),5410.3910000000005)</f>
        <v>5410.391</v>
      </c>
      <c r="H83" s="15" t="str">
        <f t="shared" si="1"/>
        <v>In Bull Run</v>
      </c>
      <c r="I83" s="16">
        <f t="shared" si="2"/>
        <v>6.739050838</v>
      </c>
      <c r="J83" s="7" t="str">
        <f>IFERROR(__xludf.DUMMYFUNCTION("IFERROR(IF(A83="""",""ENTER STOCK"",
  LET(
    raw_high, GOOGLEFINANCE(""NSE:"" &amp; A83, ""high"", TODAY()-365, TODAY()),
    high_date, IFERROR(TO_DATE(QUERY(raw_high, ""SELECT Col1 WHERE Col2 IS NOT NULL ORDER BY Col2 DESC LIMIT 1 LABEL Col1 ''"", 1))"&amp;", TODAY()-30),
    raw_data, IFERROR(GOOGLEFINANCE(""NSE:"" &amp; A83, ""close"", high_date, TODAY()), GOOGLEFINANCE(""NSE:"" &amp; A83,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83" s="7"/>
    </row>
    <row r="84">
      <c r="A84" s="8" t="s">
        <v>95</v>
      </c>
      <c r="B84" s="9">
        <v>2.94091271643E9</v>
      </c>
      <c r="C84" s="9">
        <v>183.5</v>
      </c>
      <c r="D84" s="12">
        <f>IFERROR(__xludf.DUMMYFUNCTION("GOOGLEFINANCE(""NSE:""&amp;A84,""price"")"),183.49)</f>
        <v>183.49</v>
      </c>
      <c r="E84" s="13">
        <f>IFERROR(__xludf.DUMMYFUNCTION("IFERROR(AVERAGE(QUERY(SORT(GOOGLEFINANCE(""NSE:""&amp;A84,""price"",TODAY()-75,TODAY()),1,0),""select Col2 limit 50"")), """")"),190.67780000000002)</f>
        <v>190.6778</v>
      </c>
      <c r="F84" s="13">
        <f>IFERROR(__xludf.DUMMYFUNCTION("IFERROR(AVERAGE(QUERY(SORT(GOOGLEFINANCE(""NSE:""&amp;A84,""price"",TODAY()-150,TODAY()),1,0),""select Col2 limit 100"")), """")"),199.1414)</f>
        <v>199.1414</v>
      </c>
      <c r="G84" s="13">
        <f>IFERROR(__xludf.DUMMYFUNCTION("IFERROR(AVERAGE(QUERY(SORT(GOOGLEFINANCE(""NSE:""&amp;A84,""price"",TODAY()-300,TODAY()),1,0),""select Col2 limit 200"")), """")"),191.86624999999995)</f>
        <v>191.86625</v>
      </c>
      <c r="H84" s="15" t="str">
        <f t="shared" si="1"/>
        <v>In Bear Run</v>
      </c>
      <c r="I84" s="16">
        <f t="shared" si="2"/>
        <v>-4.365671399</v>
      </c>
      <c r="J84" s="7" t="str">
        <f>IFERROR(__xludf.DUMMYFUNCTION("IFERROR(IF(A84="""",""ENTER STOCK"",
  LET(
    raw_high, GOOGLEFINANCE(""NSE:"" &amp; A84, ""high"", TODAY()-365, TODAY()),
    high_date, IFERROR(TO_DATE(QUERY(raw_high, ""SELECT Col1 WHERE Col2 IS NOT NULL ORDER BY Col2 DESC LIMIT 1 LABEL Col1 ''"", 1))"&amp;", TODAY()-30),
    raw_data, IFERROR(GOOGLEFINANCE(""NSE:"" &amp; A84, ""close"", high_date, TODAY()), GOOGLEFINANCE(""NSE:"" &amp; A84,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84" s="7"/>
    </row>
    <row r="85">
      <c r="A85" s="8" t="s">
        <v>96</v>
      </c>
      <c r="B85" s="9">
        <v>2.911089562E9</v>
      </c>
      <c r="C85" s="9">
        <v>14130.0</v>
      </c>
      <c r="D85" s="12">
        <f>IFERROR(__xludf.DUMMYFUNCTION("GOOGLEFINANCE(""NSE:""&amp;A85,""price"")"),14159.0)</f>
        <v>14159</v>
      </c>
      <c r="E85" s="13">
        <f>IFERROR(__xludf.DUMMYFUNCTION("IFERROR(AVERAGE(QUERY(SORT(GOOGLEFINANCE(""NSE:""&amp;A85,""price"",TODAY()-75,TODAY()),1,0),""select Col2 limit 50"")), """")"),13139.52)</f>
        <v>13139.52</v>
      </c>
      <c r="F85" s="13">
        <f>IFERROR(__xludf.DUMMYFUNCTION("IFERROR(AVERAGE(QUERY(SORT(GOOGLEFINANCE(""NSE:""&amp;A85,""price"",TODAY()-150,TODAY()),1,0),""select Col2 limit 100"")), """")"),12029.835)</f>
        <v>12029.835</v>
      </c>
      <c r="G85" s="13">
        <f>IFERROR(__xludf.DUMMYFUNCTION("IFERROR(AVERAGE(QUERY(SORT(GOOGLEFINANCE(""NSE:""&amp;A85,""price"",TODAY()-300,TODAY()),1,0),""select Col2 limit 200"")), """")"),12325.6675)</f>
        <v>12325.6675</v>
      </c>
      <c r="H85" s="15" t="str">
        <f t="shared" si="1"/>
        <v>Unconfirmed</v>
      </c>
      <c r="I85" s="16">
        <f t="shared" si="2"/>
        <v>14.87410317</v>
      </c>
      <c r="J85" s="7" t="str">
        <f>IFERROR(__xludf.DUMMYFUNCTION("IFERROR(IF(A85="""",""ENTER STOCK"",
  LET(
    raw_high, GOOGLEFINANCE(""NSE:"" &amp; A85, ""high"", TODAY()-365, TODAY()),
    high_date, IFERROR(TO_DATE(QUERY(raw_high, ""SELECT Col1 WHERE Col2 IS NOT NULL ORDER BY Col2 DESC LIMIT 1 LABEL Col1 ''"", 1))"&amp;", TODAY()-30),
    raw_data, IFERROR(GOOGLEFINANCE(""NSE:"" &amp; A85, ""close"", high_date, TODAY()), GOOGLEFINANCE(""NSE:"" &amp; A85,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85" s="7"/>
    </row>
    <row r="86">
      <c r="A86" s="8" t="s">
        <v>97</v>
      </c>
      <c r="B86" s="9">
        <v>2.90785678146E9</v>
      </c>
      <c r="C86" s="9">
        <v>120.53</v>
      </c>
      <c r="D86" s="12">
        <f>IFERROR(__xludf.DUMMYFUNCTION("GOOGLEFINANCE(""NSE:""&amp;A86,""price"")"),120.7)</f>
        <v>120.7</v>
      </c>
      <c r="E86" s="13">
        <f>IFERROR(__xludf.DUMMYFUNCTION("IFERROR(AVERAGE(QUERY(SORT(GOOGLEFINANCE(""NSE:""&amp;A86,""price"",TODAY()-75,TODAY()),1,0),""select Col2 limit 50"")), """")"),101.19979999999998)</f>
        <v>101.1998</v>
      </c>
      <c r="F86" s="13">
        <f>IFERROR(__xludf.DUMMYFUNCTION("IFERROR(AVERAGE(QUERY(SORT(GOOGLEFINANCE(""NSE:""&amp;A86,""price"",TODAY()-150,TODAY()),1,0),""select Col2 limit 100"")), """")"),91.73519999999996)</f>
        <v>91.7352</v>
      </c>
      <c r="G86" s="13">
        <f>IFERROR(__xludf.DUMMYFUNCTION("IFERROR(AVERAGE(QUERY(SORT(GOOGLEFINANCE(""NSE:""&amp;A86,""price"",TODAY()-300,TODAY()),1,0),""select Col2 limit 200"")), """")"),86.1794)</f>
        <v>86.1794</v>
      </c>
      <c r="H86" s="15" t="str">
        <f t="shared" si="1"/>
        <v>Unconfirmed</v>
      </c>
      <c r="I86" s="16">
        <f t="shared" si="2"/>
        <v>40.05667248</v>
      </c>
      <c r="J86" s="7" t="str">
        <f>IFERROR(__xludf.DUMMYFUNCTION("IFERROR(IF(A86="""",""ENTER STOCK"",
  LET(
    raw_high, GOOGLEFINANCE(""NSE:"" &amp; A86, ""high"", TODAY()-365, TODAY()),
    high_date, IFERROR(TO_DATE(QUERY(raw_high, ""SELECT Col1 WHERE Col2 IS NOT NULL ORDER BY Col2 DESC LIMIT 1 LABEL Col1 ''"", 1))"&amp;", TODAY()-30),
    raw_data, IFERROR(GOOGLEFINANCE(""NSE:"" &amp; A86, ""close"", high_date, TODAY()), GOOGLEFINANCE(""NSE:"" &amp; A86,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86" s="7"/>
    </row>
    <row r="87">
      <c r="A87" s="8" t="s">
        <v>98</v>
      </c>
      <c r="B87" s="9">
        <v>2.901035226E9</v>
      </c>
      <c r="C87" s="9">
        <v>8477.0</v>
      </c>
      <c r="D87" s="12">
        <f>IFERROR(__xludf.DUMMYFUNCTION("GOOGLEFINANCE(""NSE:""&amp;A87,""price"")"),8475.0)</f>
        <v>8475</v>
      </c>
      <c r="E87" s="13">
        <f>IFERROR(__xludf.DUMMYFUNCTION("IFERROR(AVERAGE(QUERY(SORT(GOOGLEFINANCE(""NSE:""&amp;A87,""price"",TODAY()-75,TODAY()),1,0),""select Col2 limit 50"")), """")"),7259.52)</f>
        <v>7259.52</v>
      </c>
      <c r="F87" s="13">
        <f>IFERROR(__xludf.DUMMYFUNCTION("IFERROR(AVERAGE(QUERY(SORT(GOOGLEFINANCE(""NSE:""&amp;A87,""price"",TODAY()-150,TODAY()),1,0),""select Col2 limit 100"")), """")"),6835.795)</f>
        <v>6835.795</v>
      </c>
      <c r="G87" s="13">
        <f>IFERROR(__xludf.DUMMYFUNCTION("IFERROR(AVERAGE(QUERY(SORT(GOOGLEFINANCE(""NSE:""&amp;A87,""price"",TODAY()-300,TODAY()),1,0),""select Col2 limit 200"")), """")"),6601.1725)</f>
        <v>6601.1725</v>
      </c>
      <c r="H87" s="15" t="str">
        <f t="shared" si="1"/>
        <v>Unconfirmed</v>
      </c>
      <c r="I87" s="16">
        <f t="shared" si="2"/>
        <v>28.38628289</v>
      </c>
      <c r="J87" s="7" t="str">
        <f>IFERROR(__xludf.DUMMYFUNCTION("IFERROR(IF(A87="""",""ENTER STOCK"",
  LET(
    raw_high, GOOGLEFINANCE(""NSE:"" &amp; A87, ""high"", TODAY()-365, TODAY()),
    high_date, IFERROR(TO_DATE(QUERY(raw_high, ""SELECT Col1 WHERE Col2 IS NOT NULL ORDER BY Col2 DESC LIMIT 1 LABEL Col1 ''"", 1))"&amp;", TODAY()-30),
    raw_data, IFERROR(GOOGLEFINANCE(""NSE:"" &amp; A87, ""close"", high_date, TODAY()), GOOGLEFINANCE(""NSE:"" &amp; A87,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87" s="7"/>
    </row>
    <row r="88">
      <c r="A88" s="8" t="s">
        <v>99</v>
      </c>
      <c r="B88" s="9">
        <v>2.87005138334E9</v>
      </c>
      <c r="C88" s="9">
        <v>236.4</v>
      </c>
      <c r="D88" s="12">
        <f>IFERROR(__xludf.DUMMYFUNCTION("GOOGLEFINANCE(""NSE:""&amp;A88,""price"")"),235.35)</f>
        <v>235.35</v>
      </c>
      <c r="E88" s="13">
        <f>IFERROR(__xludf.DUMMYFUNCTION("IFERROR(AVERAGE(QUERY(SORT(GOOGLEFINANCE(""NSE:""&amp;A88,""price"",TODAY()-75,TODAY()),1,0),""select Col2 limit 50"")), """")"),244.36579999999998)</f>
        <v>244.3658</v>
      </c>
      <c r="F88" s="13">
        <f>IFERROR(__xludf.DUMMYFUNCTION("IFERROR(AVERAGE(QUERY(SORT(GOOGLEFINANCE(""NSE:""&amp;A88,""price"",TODAY()-150,TODAY()),1,0),""select Col2 limit 100"")), """")"),264.3274)</f>
        <v>264.3274</v>
      </c>
      <c r="G88" s="13">
        <f>IFERROR(__xludf.DUMMYFUNCTION("IFERROR(AVERAGE(QUERY(SORT(GOOGLEFINANCE(""NSE:""&amp;A88,""price"",TODAY()-300,TODAY()),1,0),""select Col2 limit 200"")), """")"),258.7463499999998)</f>
        <v>258.74635</v>
      </c>
      <c r="H88" s="15" t="str">
        <f t="shared" si="1"/>
        <v>In Bear Run</v>
      </c>
      <c r="I88" s="16">
        <f t="shared" si="2"/>
        <v>-9.042195185</v>
      </c>
      <c r="J88" s="7" t="str">
        <f>IFERROR(__xludf.DUMMYFUNCTION("IFERROR(IF(A88="""",""ENTER STOCK"",
  LET(
    raw_high, GOOGLEFINANCE(""NSE:"" &amp; A88, ""high"", TODAY()-365, TODAY()),
    high_date, IFERROR(TO_DATE(QUERY(raw_high, ""SELECT Col1 WHERE Col2 IS NOT NULL ORDER BY Col2 DESC LIMIT 1 LABEL Col1 ''"", 1))"&amp;", TODAY()-30),
    raw_data, IFERROR(GOOGLEFINANCE(""NSE:"" &amp; A88, ""close"", high_date, TODAY()), GOOGLEFINANCE(""NSE:"" &amp; A88,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88" s="7"/>
    </row>
    <row r="89">
      <c r="A89" s="8" t="s">
        <v>100</v>
      </c>
      <c r="B89" s="9">
        <v>2.8693656326E9</v>
      </c>
      <c r="C89" s="9">
        <v>1787.3</v>
      </c>
      <c r="D89" s="12">
        <f>IFERROR(__xludf.DUMMYFUNCTION("GOOGLEFINANCE(""NSE:""&amp;A89,""price"")"),1787.8)</f>
        <v>1787.8</v>
      </c>
      <c r="E89" s="13">
        <f>IFERROR(__xludf.DUMMYFUNCTION("IFERROR(AVERAGE(QUERY(SORT(GOOGLEFINANCE(""NSE:""&amp;A89,""price"",TODAY()-75,TODAY()),1,0),""select Col2 limit 50"")), """")"),1583.4060000000004)</f>
        <v>1583.406</v>
      </c>
      <c r="F89" s="13">
        <f>IFERROR(__xludf.DUMMYFUNCTION("IFERROR(AVERAGE(QUERY(SORT(GOOGLEFINANCE(""NSE:""&amp;A89,""price"",TODAY()-150,TODAY()),1,0),""select Col2 limit 100"")), """")"),1382.0770000000005)</f>
        <v>1382.077</v>
      </c>
      <c r="G89" s="13">
        <f>IFERROR(__xludf.DUMMYFUNCTION("IFERROR(AVERAGE(QUERY(SORT(GOOGLEFINANCE(""NSE:""&amp;A89,""price"",TODAY()-300,TODAY()),1,0),""select Col2 limit 200"")), """")"),1199.7412499999998)</f>
        <v>1199.74125</v>
      </c>
      <c r="H89" s="15" t="str">
        <f t="shared" si="1"/>
        <v>Unconfirmed</v>
      </c>
      <c r="I89" s="16">
        <f t="shared" si="2"/>
        <v>49.01546479</v>
      </c>
      <c r="J89" s="7" t="str">
        <f>IFERROR(__xludf.DUMMYFUNCTION("IFERROR(IF(A89="""",""ENTER STOCK"",
  LET(
    raw_high, GOOGLEFINANCE(""NSE:"" &amp; A89, ""high"", TODAY()-365, TODAY()),
    high_date, IFERROR(TO_DATE(QUERY(raw_high, ""SELECT Col1 WHERE Col2 IS NOT NULL ORDER BY Col2 DESC LIMIT 1 LABEL Col1 ''"", 1))"&amp;", TODAY()-30),
    raw_data, IFERROR(GOOGLEFINANCE(""NSE:"" &amp; A89, ""close"", high_date, TODAY()), GOOGLEFINANCE(""NSE:"" &amp; A89,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89" s="7"/>
    </row>
    <row r="90">
      <c r="A90" s="8" t="s">
        <v>101</v>
      </c>
      <c r="B90" s="9">
        <v>2.8692064141E9</v>
      </c>
      <c r="C90" s="9">
        <v>1812.0</v>
      </c>
      <c r="D90" s="12">
        <f>IFERROR(__xludf.DUMMYFUNCTION("GOOGLEFINANCE(""NSE:""&amp;A90,""price"")"),1813.0)</f>
        <v>1813</v>
      </c>
      <c r="E90" s="13">
        <f>IFERROR(__xludf.DUMMYFUNCTION("IFERROR(AVERAGE(QUERY(SORT(GOOGLEFINANCE(""NSE:""&amp;A90,""price"",TODAY()-75,TODAY()),1,0),""select Col2 limit 50"")), """")"),1553.5020000000002)</f>
        <v>1553.502</v>
      </c>
      <c r="F90" s="13">
        <f>IFERROR(__xludf.DUMMYFUNCTION("IFERROR(AVERAGE(QUERY(SORT(GOOGLEFINANCE(""NSE:""&amp;A90,""price"",TODAY()-150,TODAY()),1,0),""select Col2 limit 100"")), """")"),1414.0200000000002)</f>
        <v>1414.02</v>
      </c>
      <c r="G90" s="13">
        <f>IFERROR(__xludf.DUMMYFUNCTION("IFERROR(AVERAGE(QUERY(SORT(GOOGLEFINANCE(""NSE:""&amp;A90,""price"",TODAY()-300,TODAY()),1,0),""select Col2 limit 200"")), """")"),1521.8239999999996)</f>
        <v>1521.824</v>
      </c>
      <c r="H90" s="15" t="str">
        <f t="shared" si="1"/>
        <v>Unconfirmed</v>
      </c>
      <c r="I90" s="16">
        <f t="shared" si="2"/>
        <v>19.13335576</v>
      </c>
      <c r="J90" s="7" t="str">
        <f>IFERROR(__xludf.DUMMYFUNCTION("IFERROR(IF(A90="""",""ENTER STOCK"",
  LET(
    raw_high, GOOGLEFINANCE(""NSE:"" &amp; A90, ""high"", TODAY()-365, TODAY()),
    high_date, IFERROR(TO_DATE(QUERY(raw_high, ""SELECT Col1 WHERE Col2 IS NOT NULL ORDER BY Col2 DESC LIMIT 1 LABEL Col1 ''"", 1))"&amp;", TODAY()-30),
    raw_data, IFERROR(GOOGLEFINANCE(""NSE:"" &amp; A90, ""close"", high_date, TODAY()), GOOGLEFINANCE(""NSE:"" &amp; A90,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90" s="7"/>
    </row>
    <row r="91">
      <c r="A91" s="8" t="s">
        <v>102</v>
      </c>
      <c r="B91" s="9">
        <v>2.85789856366E9</v>
      </c>
      <c r="C91" s="9">
        <v>205.25</v>
      </c>
      <c r="D91" s="12">
        <f>IFERROR(__xludf.DUMMYFUNCTION("GOOGLEFINANCE(""NSE:""&amp;A91,""price"")"),205.28)</f>
        <v>205.28</v>
      </c>
      <c r="E91" s="13">
        <f>IFERROR(__xludf.DUMMYFUNCTION("IFERROR(AVERAGE(QUERY(SORT(GOOGLEFINANCE(""NSE:""&amp;A91,""price"",TODAY()-75,TODAY()),1,0),""select Col2 limit 50"")), """")"),218.43)</f>
        <v>218.43</v>
      </c>
      <c r="F91" s="13">
        <f>IFERROR(__xludf.DUMMYFUNCTION("IFERROR(AVERAGE(QUERY(SORT(GOOGLEFINANCE(""NSE:""&amp;A91,""price"",TODAY()-150,TODAY()),1,0),""select Col2 limit 100"")), """")"),210.58200000000005)</f>
        <v>210.582</v>
      </c>
      <c r="G91" s="13">
        <f>IFERROR(__xludf.DUMMYFUNCTION("IFERROR(AVERAGE(QUERY(SORT(GOOGLEFINANCE(""NSE:""&amp;A91,""price"",TODAY()-300,TODAY()),1,0),""select Col2 limit 200"")), """")"),178.3834500000001)</f>
        <v>178.38345</v>
      </c>
      <c r="H91" s="15" t="str">
        <f t="shared" si="1"/>
        <v>Unconfirmed</v>
      </c>
      <c r="I91" s="16">
        <f t="shared" si="2"/>
        <v>15.07794025</v>
      </c>
      <c r="J91" s="7" t="str">
        <f>IFERROR(__xludf.DUMMYFUNCTION("IFERROR(IF(A91="""",""ENTER STOCK"",
  LET(
    raw_high, GOOGLEFINANCE(""NSE:"" &amp; A91, ""high"", TODAY()-365, TODAY()),
    high_date, IFERROR(TO_DATE(QUERY(raw_high, ""SELECT Col1 WHERE Col2 IS NOT NULL ORDER BY Col2 DESC LIMIT 1 LABEL Col1 ''"", 1))"&amp;", TODAY()-30),
    raw_data, IFERROR(GOOGLEFINANCE(""NSE:"" &amp; A91, ""close"", high_date, TODAY()), GOOGLEFINANCE(""NSE:"" &amp; A91,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91" s="7"/>
    </row>
    <row r="92">
      <c r="A92" s="8" t="s">
        <v>103</v>
      </c>
      <c r="B92" s="9">
        <v>2.8491739836E9</v>
      </c>
      <c r="C92" s="9">
        <v>267.5</v>
      </c>
      <c r="D92" s="12">
        <f>IFERROR(__xludf.DUMMYFUNCTION("GOOGLEFINANCE(""NSE:""&amp;A92,""price"")"),267.75)</f>
        <v>267.75</v>
      </c>
      <c r="E92" s="13">
        <f>IFERROR(__xludf.DUMMYFUNCTION("IFERROR(AVERAGE(QUERY(SORT(GOOGLEFINANCE(""NSE:""&amp;A92,""price"",TODAY()-75,TODAY()),1,0),""select Col2 limit 50"")), """")"),279.147)</f>
        <v>279.147</v>
      </c>
      <c r="F92" s="13">
        <f>IFERROR(__xludf.DUMMYFUNCTION("IFERROR(AVERAGE(QUERY(SORT(GOOGLEFINANCE(""NSE:""&amp;A92,""price"",TODAY()-150,TODAY()),1,0),""select Col2 limit 100"")), """")"),403.8775)</f>
        <v>403.8775</v>
      </c>
      <c r="G92" s="13">
        <f>IFERROR(__xludf.DUMMYFUNCTION("IFERROR(AVERAGE(QUERY(SORT(GOOGLEFINANCE(""NSE:""&amp;A92,""price"",TODAY()-300,TODAY()),1,0),""select Col2 limit 200"")), """")"),506.9272499999999)</f>
        <v>506.92725</v>
      </c>
      <c r="H92" s="15" t="str">
        <f t="shared" si="1"/>
        <v>Unconfirmed</v>
      </c>
      <c r="I92" s="16">
        <f t="shared" si="2"/>
        <v>-47.18177017</v>
      </c>
      <c r="J92" s="7" t="str">
        <f>IFERROR(__xludf.DUMMYFUNCTION("IFERROR(IF(A92="""",""ENTER STOCK"",
  LET(
    raw_high, GOOGLEFINANCE(""NSE:"" &amp; A92, ""high"", TODAY()-365, TODAY()),
    high_date, IFERROR(TO_DATE(QUERY(raw_high, ""SELECT Col1 WHERE Col2 IS NOT NULL ORDER BY Col2 DESC LIMIT 1 LABEL Col1 ''"", 1))"&amp;", TODAY()-30),
    raw_data, IFERROR(GOOGLEFINANCE(""NSE:"" &amp; A92, ""close"", high_date, TODAY()), GOOGLEFINANCE(""NSE:"" &amp; A92,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92" s="7"/>
    </row>
    <row r="93">
      <c r="A93" s="8" t="s">
        <v>104</v>
      </c>
      <c r="B93" s="9">
        <v>2.8464503636E9</v>
      </c>
      <c r="C93" s="9">
        <v>2580.0</v>
      </c>
      <c r="D93" s="12">
        <f>IFERROR(__xludf.DUMMYFUNCTION("GOOGLEFINANCE(""NSE:""&amp;A93,""price"")"),2582.9)</f>
        <v>2582.9</v>
      </c>
      <c r="E93" s="13">
        <f>IFERROR(__xludf.DUMMYFUNCTION("IFERROR(AVERAGE(QUERY(SORT(GOOGLEFINANCE(""NSE:""&amp;A93,""price"",TODAY()-75,TODAY()),1,0),""select Col2 limit 50"")), """")"),2438.512)</f>
        <v>2438.512</v>
      </c>
      <c r="F93" s="13">
        <f>IFERROR(__xludf.DUMMYFUNCTION("IFERROR(AVERAGE(QUERY(SORT(GOOGLEFINANCE(""NSE:""&amp;A93,""price"",TODAY()-150,TODAY()),1,0),""select Col2 limit 100"")), """")"),2461.091)</f>
        <v>2461.091</v>
      </c>
      <c r="G93" s="13">
        <f>IFERROR(__xludf.DUMMYFUNCTION("IFERROR(AVERAGE(QUERY(SORT(GOOGLEFINANCE(""NSE:""&amp;A93,""price"",TODAY()-300,TODAY()),1,0),""select Col2 limit 200"")), """")"),2486.6170000000006)</f>
        <v>2486.617</v>
      </c>
      <c r="H93" s="15" t="str">
        <f t="shared" si="1"/>
        <v>In Bull Run</v>
      </c>
      <c r="I93" s="16">
        <f t="shared" si="2"/>
        <v>3.872047847</v>
      </c>
      <c r="J93" s="7" t="str">
        <f>IFERROR(__xludf.DUMMYFUNCTION("IFERROR(IF(A93="""",""ENTER STOCK"",
  LET(
    raw_high, GOOGLEFINANCE(""NSE:"" &amp; A93, ""high"", TODAY()-365, TODAY()),
    high_date, IFERROR(TO_DATE(QUERY(raw_high, ""SELECT Col1 WHERE Col2 IS NOT NULL ORDER BY Col2 DESC LIMIT 1 LABEL Col1 ''"", 1))"&amp;", TODAY()-30),
    raw_data, IFERROR(GOOGLEFINANCE(""NSE:"" &amp; A93, ""close"", high_date, TODAY()), GOOGLEFINANCE(""NSE:"" &amp; A93,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93" s="7"/>
    </row>
    <row r="94">
      <c r="A94" s="8" t="s">
        <v>105</v>
      </c>
      <c r="B94" s="9">
        <v>2.83032569E9</v>
      </c>
      <c r="C94" s="9">
        <v>11700.0</v>
      </c>
      <c r="D94" s="12">
        <f>IFERROR(__xludf.DUMMYFUNCTION("GOOGLEFINANCE(""NSE:""&amp;A94,""price"")"),11671.0)</f>
        <v>11671</v>
      </c>
      <c r="E94" s="13">
        <f>IFERROR(__xludf.DUMMYFUNCTION("IFERROR(AVERAGE(QUERY(SORT(GOOGLEFINANCE(""NSE:""&amp;A94,""price"",TODAY()-75,TODAY()),1,0),""select Col2 limit 50"")), """")"),10604.58)</f>
        <v>10604.58</v>
      </c>
      <c r="F94" s="13">
        <f>IFERROR(__xludf.DUMMYFUNCTION("IFERROR(AVERAGE(QUERY(SORT(GOOGLEFINANCE(""NSE:""&amp;A94,""price"",TODAY()-150,TODAY()),1,0),""select Col2 limit 100"")), """")"),10228.045)</f>
        <v>10228.045</v>
      </c>
      <c r="G94" s="13">
        <f>IFERROR(__xludf.DUMMYFUNCTION("IFERROR(AVERAGE(QUERY(SORT(GOOGLEFINANCE(""NSE:""&amp;A94,""price"",TODAY()-300,TODAY()),1,0),""select Col2 limit 200"")), """")"),9765.67)</f>
        <v>9765.67</v>
      </c>
      <c r="H94" s="15" t="str">
        <f t="shared" si="1"/>
        <v>Unconfirmed</v>
      </c>
      <c r="I94" s="16">
        <f t="shared" si="2"/>
        <v>19.5104893</v>
      </c>
      <c r="J94" s="7" t="str">
        <f>IFERROR(__xludf.DUMMYFUNCTION("IFERROR(IF(A94="""",""ENTER STOCK"",
  LET(
    raw_high, GOOGLEFINANCE(""NSE:"" &amp; A94, ""high"", TODAY()-365, TODAY()),
    high_date, IFERROR(TO_DATE(QUERY(raw_high, ""SELECT Col1 WHERE Col2 IS NOT NULL ORDER BY Col2 DESC LIMIT 1 LABEL Col1 ''"", 1))"&amp;", TODAY()-30),
    raw_data, IFERROR(GOOGLEFINANCE(""NSE:"" &amp; A94, ""close"", high_date, TODAY()), GOOGLEFINANCE(""NSE:"" &amp; A94,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94" s="7"/>
    </row>
    <row r="95">
      <c r="A95" s="8" t="s">
        <v>106</v>
      </c>
      <c r="B95" s="9">
        <v>2.8226985139E9</v>
      </c>
      <c r="C95" s="9">
        <v>1148.7</v>
      </c>
      <c r="D95" s="12">
        <f>IFERROR(__xludf.DUMMYFUNCTION("GOOGLEFINANCE(""NSE:""&amp;A95,""price"")"),1142.8)</f>
        <v>1142.8</v>
      </c>
      <c r="E95" s="13">
        <f>IFERROR(__xludf.DUMMYFUNCTION("IFERROR(AVERAGE(QUERY(SORT(GOOGLEFINANCE(""NSE:""&amp;A95,""price"",TODAY()-75,TODAY()),1,0),""select Col2 limit 50"")), """")"),1054.227)</f>
        <v>1054.227</v>
      </c>
      <c r="F95" s="13">
        <f>IFERROR(__xludf.DUMMYFUNCTION("IFERROR(AVERAGE(QUERY(SORT(GOOGLEFINANCE(""NSE:""&amp;A95,""price"",TODAY()-150,TODAY()),1,0),""select Col2 limit 100"")), """")"),965.8454999999998)</f>
        <v>965.8455</v>
      </c>
      <c r="G95" s="13">
        <f>IFERROR(__xludf.DUMMYFUNCTION("IFERROR(AVERAGE(QUERY(SORT(GOOGLEFINANCE(""NSE:""&amp;A95,""price"",TODAY()-300,TODAY()),1,0),""select Col2 limit 200"")), """")"),1030.2827499999999)</f>
        <v>1030.28275</v>
      </c>
      <c r="H95" s="15" t="str">
        <f t="shared" si="1"/>
        <v>Unconfirmed</v>
      </c>
      <c r="I95" s="16">
        <f t="shared" si="2"/>
        <v>10.92100688</v>
      </c>
      <c r="J95" s="7" t="str">
        <f>IFERROR(__xludf.DUMMYFUNCTION("IFERROR(IF(A95="""",""ENTER STOCK"",
  LET(
    raw_high, GOOGLEFINANCE(""NSE:"" &amp; A95, ""high"", TODAY()-365, TODAY()),
    high_date, IFERROR(TO_DATE(QUERY(raw_high, ""SELECT Col1 WHERE Col2 IS NOT NULL ORDER BY Col2 DESC LIMIT 1 LABEL Col1 ''"", 1))"&amp;", TODAY()-30),
    raw_data, IFERROR(GOOGLEFINANCE(""NSE:"" &amp; A95, ""close"", high_date, TODAY()), GOOGLEFINANCE(""NSE:"" &amp; A95,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95" s="7"/>
    </row>
    <row r="96">
      <c r="A96" s="8" t="s">
        <v>107</v>
      </c>
      <c r="B96" s="9">
        <v>2.7934580549E9</v>
      </c>
      <c r="C96" s="9">
        <v>420.2</v>
      </c>
      <c r="D96" s="12">
        <f>IFERROR(__xludf.DUMMYFUNCTION("GOOGLEFINANCE(""NSE:""&amp;A96,""price"")"),420.0)</f>
        <v>420</v>
      </c>
      <c r="E96" s="13">
        <f>IFERROR(__xludf.DUMMYFUNCTION("IFERROR(AVERAGE(QUERY(SORT(GOOGLEFINANCE(""NSE:""&amp;A96,""price"",TODAY()-75,TODAY()),1,0),""select Col2 limit 50"")), """")"),369.5049999999999)</f>
        <v>369.505</v>
      </c>
      <c r="F96" s="13">
        <f>IFERROR(__xludf.DUMMYFUNCTION("IFERROR(AVERAGE(QUERY(SORT(GOOGLEFINANCE(""NSE:""&amp;A96,""price"",TODAY()-150,TODAY()),1,0),""select Col2 limit 100"")), """")"),373.231)</f>
        <v>373.231</v>
      </c>
      <c r="G96" s="13">
        <f>IFERROR(__xludf.DUMMYFUNCTION("IFERROR(AVERAGE(QUERY(SORT(GOOGLEFINANCE(""NSE:""&amp;A96,""price"",TODAY()-300,TODAY()),1,0),""select Col2 limit 200"")), """")"),409.7682499999999)</f>
        <v>409.76825</v>
      </c>
      <c r="H96" s="15" t="str">
        <f t="shared" si="1"/>
        <v>In Bull Run</v>
      </c>
      <c r="I96" s="16">
        <f t="shared" si="2"/>
        <v>2.496960172</v>
      </c>
      <c r="J96" s="7" t="str">
        <f>IFERROR(__xludf.DUMMYFUNCTION("IFERROR(IF(A96="""",""ENTER STOCK"",
  LET(
    raw_high, GOOGLEFINANCE(""NSE:"" &amp; A96, ""high"", TODAY()-365, TODAY()),
    high_date, IFERROR(TO_DATE(QUERY(raw_high, ""SELECT Col1 WHERE Col2 IS NOT NULL ORDER BY Col2 DESC LIMIT 1 LABEL Col1 ''"", 1))"&amp;", TODAY()-30),
    raw_data, IFERROR(GOOGLEFINANCE(""NSE:"" &amp; A96, ""close"", high_date, TODAY()), GOOGLEFINANCE(""NSE:"" &amp; A96,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96" s="7"/>
    </row>
    <row r="97">
      <c r="A97" s="8" t="s">
        <v>108</v>
      </c>
      <c r="B97" s="9">
        <v>2.7758418572E9</v>
      </c>
      <c r="C97" s="9">
        <v>1122.0</v>
      </c>
      <c r="D97" s="12">
        <f>IFERROR(__xludf.DUMMYFUNCTION("GOOGLEFINANCE(""NSE:""&amp;A97,""price"")"),1124.9)</f>
        <v>1124.9</v>
      </c>
      <c r="E97" s="13">
        <f>IFERROR(__xludf.DUMMYFUNCTION("IFERROR(AVERAGE(QUERY(SORT(GOOGLEFINANCE(""NSE:""&amp;A97,""price"",TODAY()-75,TODAY()),1,0),""select Col2 limit 50"")), """")"),1034.654)</f>
        <v>1034.654</v>
      </c>
      <c r="F97" s="13">
        <f>IFERROR(__xludf.DUMMYFUNCTION("IFERROR(AVERAGE(QUERY(SORT(GOOGLEFINANCE(""NSE:""&amp;A97,""price"",TODAY()-150,TODAY()),1,0),""select Col2 limit 100"")), """")"),996.7110000000002)</f>
        <v>996.711</v>
      </c>
      <c r="G97" s="13">
        <f>IFERROR(__xludf.DUMMYFUNCTION("IFERROR(AVERAGE(QUERY(SORT(GOOGLEFINANCE(""NSE:""&amp;A97,""price"",TODAY()-300,TODAY()),1,0),""select Col2 limit 200"")), """")"),965.8955000000002)</f>
        <v>965.8955</v>
      </c>
      <c r="H97" s="15" t="str">
        <f t="shared" si="1"/>
        <v>Unconfirmed</v>
      </c>
      <c r="I97" s="16">
        <f t="shared" si="2"/>
        <v>16.46187398</v>
      </c>
      <c r="J97" s="7" t="str">
        <f>IFERROR(__xludf.DUMMYFUNCTION("IFERROR(IF(A97="""",""ENTER STOCK"",
  LET(
    raw_high, GOOGLEFINANCE(""NSE:"" &amp; A97, ""high"", TODAY()-365, TODAY()),
    high_date, IFERROR(TO_DATE(QUERY(raw_high, ""SELECT Col1 WHERE Col2 IS NOT NULL ORDER BY Col2 DESC LIMIT 1 LABEL Col1 ''"", 1))"&amp;", TODAY()-30),
    raw_data, IFERROR(GOOGLEFINANCE(""NSE:"" &amp; A97, ""close"", high_date, TODAY()), GOOGLEFINANCE(""NSE:"" &amp; A97,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97" s="7"/>
    </row>
    <row r="98">
      <c r="A98" s="8" t="s">
        <v>109</v>
      </c>
      <c r="B98" s="9">
        <v>2.7260034379E9</v>
      </c>
      <c r="C98" s="9">
        <v>3924.6</v>
      </c>
      <c r="D98" s="12">
        <f>IFERROR(__xludf.DUMMYFUNCTION("GOOGLEFINANCE(""NSE:""&amp;A98,""price"")"),3926.0)</f>
        <v>3926</v>
      </c>
      <c r="E98" s="13">
        <f>IFERROR(__xludf.DUMMYFUNCTION("IFERROR(AVERAGE(QUERY(SORT(GOOGLEFINANCE(""NSE:""&amp;A98,""price"",TODAY()-75,TODAY()),1,0),""select Col2 limit 50"")), """")"),3248.679999999999)</f>
        <v>3248.68</v>
      </c>
      <c r="F98" s="13">
        <f>IFERROR(__xludf.DUMMYFUNCTION("IFERROR(AVERAGE(QUERY(SORT(GOOGLEFINANCE(""NSE:""&amp;A98,""price"",TODAY()-150,TODAY()),1,0),""select Col2 limit 100"")), """")"),2854.993)</f>
        <v>2854.993</v>
      </c>
      <c r="G98" s="13">
        <f>IFERROR(__xludf.DUMMYFUNCTION("IFERROR(AVERAGE(QUERY(SORT(GOOGLEFINANCE(""NSE:""&amp;A98,""price"",TODAY()-300,TODAY()),1,0),""select Col2 limit 200"")), """")"),2337.4510000000005)</f>
        <v>2337.451</v>
      </c>
      <c r="H98" s="15" t="str">
        <f t="shared" si="1"/>
        <v>Unconfirmed</v>
      </c>
      <c r="I98" s="16">
        <f t="shared" si="2"/>
        <v>67.96074014</v>
      </c>
      <c r="J98" s="7" t="str">
        <f>IFERROR(__xludf.DUMMYFUNCTION("IFERROR(IF(A98="""",""ENTER STOCK"",
  LET(
    raw_high, GOOGLEFINANCE(""NSE:"" &amp; A98, ""high"", TODAY()-365, TODAY()),
    high_date, IFERROR(TO_DATE(QUERY(raw_high, ""SELECT Col1 WHERE Col2 IS NOT NULL ORDER BY Col2 DESC LIMIT 1 LABEL Col1 ''"", 1))"&amp;", TODAY()-30),
    raw_data, IFERROR(GOOGLEFINANCE(""NSE:"" &amp; A98, ""close"", high_date, TODAY()), GOOGLEFINANCE(""NSE:"" &amp; A98,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98" s="7"/>
    </row>
    <row r="99">
      <c r="A99" s="8" t="s">
        <v>110</v>
      </c>
      <c r="B99" s="9">
        <v>2.6850350974E9</v>
      </c>
      <c r="C99" s="9">
        <v>2024.2</v>
      </c>
      <c r="D99" s="12">
        <f>IFERROR(__xludf.DUMMYFUNCTION("GOOGLEFINANCE(""NSE:""&amp;A99,""price"")"),2046.0)</f>
        <v>2046</v>
      </c>
      <c r="E99" s="13">
        <f>IFERROR(__xludf.DUMMYFUNCTION("IFERROR(AVERAGE(QUERY(SORT(GOOGLEFINANCE(""NSE:""&amp;A99,""price"",TODAY()-75,TODAY()),1,0),""select Col2 limit 50"")), """")"),2162.0119999999997)</f>
        <v>2162.012</v>
      </c>
      <c r="F99" s="13">
        <f>IFERROR(__xludf.DUMMYFUNCTION("IFERROR(AVERAGE(QUERY(SORT(GOOGLEFINANCE(""NSE:""&amp;A99,""price"",TODAY()-150,TODAY()),1,0),""select Col2 limit 100"")), """")"),1726.7765000000006)</f>
        <v>1726.7765</v>
      </c>
      <c r="G99" s="13">
        <f>IFERROR(__xludf.DUMMYFUNCTION("IFERROR(AVERAGE(QUERY(SORT(GOOGLEFINANCE(""NSE:""&amp;A99,""price"",TODAY()-300,TODAY()),1,0),""select Col2 limit 200"")), """")"),1448.57175)</f>
        <v>1448.57175</v>
      </c>
      <c r="H99" s="15" t="str">
        <f t="shared" si="1"/>
        <v>Unconfirmed</v>
      </c>
      <c r="I99" s="16">
        <f t="shared" si="2"/>
        <v>41.24257221</v>
      </c>
      <c r="J99" s="7" t="str">
        <f>IFERROR(__xludf.DUMMYFUNCTION("IFERROR(IF(A99="""",""ENTER STOCK"",
  LET(
    raw_high, GOOGLEFINANCE(""NSE:"" &amp; A99, ""high"", TODAY()-365, TODAY()),
    high_date, IFERROR(TO_DATE(QUERY(raw_high, ""SELECT Col1 WHERE Col2 IS NOT NULL ORDER BY Col2 DESC LIMIT 1 LABEL Col1 ''"", 1))"&amp;", TODAY()-30),
    raw_data, IFERROR(GOOGLEFINANCE(""NSE:"" &amp; A99, ""close"", high_date, TODAY()), GOOGLEFINANCE(""NSE:"" &amp; A99, ""close"", TODAY()-10, TODAY())),
    prices, IFERROR(CHOOSEROWS(INDEX(raw_data, 0, 2), SEQUENCE(ROWS(raw_data)-1, 1, 2, 1))"&amp;", {0}),
    count_rows, ROWS(prices),
    cum_avg, SCAN(0, SEQUENCE(count_rows), LAMBDA(a,n, AVERAGE(CHOOSEROWS(prices, SEQUENCE(n))))),
    last_10, IF(count_rows &lt; 10, {0;0;0;0;0;0;0;0;0;0}, CHOOSEROWS(cum_avg, SEQUENCE(10, 1, count_rows - 9, 1))),
 "&amp;"check,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99" s="7"/>
    </row>
    <row r="100">
      <c r="A100" s="8" t="s">
        <v>111</v>
      </c>
      <c r="B100" s="9">
        <v>2.67178708625E9</v>
      </c>
      <c r="C100" s="9">
        <v>781.05</v>
      </c>
      <c r="D100" s="12">
        <f>IFERROR(__xludf.DUMMYFUNCTION("GOOGLEFINANCE(""NSE:""&amp;A100,""price"")"),781.05)</f>
        <v>781.05</v>
      </c>
      <c r="E100" s="13">
        <f>IFERROR(__xludf.DUMMYFUNCTION("IFERROR(AVERAGE(QUERY(SORT(GOOGLEFINANCE(""NSE:""&amp;A100,""price"",TODAY()-75,TODAY()),1,0),""select Col2 limit 50"")), """")"),711.7049999999998)</f>
        <v>711.705</v>
      </c>
      <c r="F100" s="13">
        <f>IFERROR(__xludf.DUMMYFUNCTION("IFERROR(AVERAGE(QUERY(SORT(GOOGLEFINANCE(""NSE:""&amp;A100,""price"",TODAY()-150,TODAY()),1,0),""select Col2 limit 100"")), """")"),627.5255000000001)</f>
        <v>627.5255</v>
      </c>
      <c r="G100" s="13">
        <f>IFERROR(__xludf.DUMMYFUNCTION("IFERROR(AVERAGE(QUERY(SORT(GOOGLEFINANCE(""NSE:""&amp;A100,""price"",TODAY()-300,TODAY()),1,0),""select Col2 limit 200"")), """")"),545.35325)</f>
        <v>545.35325</v>
      </c>
      <c r="H100" s="15" t="str">
        <f t="shared" si="1"/>
        <v>Unconfirmed</v>
      </c>
      <c r="I100" s="16">
        <f t="shared" si="2"/>
        <v>43.21909698</v>
      </c>
      <c r="J100" s="7" t="str">
        <f>IFERROR(__xludf.DUMMYFUNCTION("IFERROR(IF(A100="""",""ENTER STOCK"",
  LET(
    raw_high, GOOGLEFINANCE(""NSE:"" &amp; A100, ""high"", TODAY()-365, TODAY()),
    high_date, IFERROR(TO_DATE(QUERY(raw_high, ""SELECT Col1 WHERE Col2 IS NOT NULL ORDER BY Col2 DESC LIMIT 1 LABEL Col1 ''"", 1"&amp;")), TODAY()-30),
    raw_data, IFERROR(GOOGLEFINANCE(""NSE:"" &amp; A100, ""close"", high_date, TODAY()), GOOGLEFINANCE(""NSE:"" &amp; A100,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00" s="7"/>
    </row>
    <row r="101">
      <c r="A101" s="8" t="s">
        <v>112</v>
      </c>
      <c r="B101" s="9">
        <v>2.6428427063E9</v>
      </c>
      <c r="C101" s="9">
        <v>561.9</v>
      </c>
      <c r="D101" s="12">
        <f>IFERROR(__xludf.DUMMYFUNCTION("GOOGLEFINANCE(""NSE:""&amp;A101,""price"")"),560.0)</f>
        <v>560</v>
      </c>
      <c r="E101" s="13">
        <f>IFERROR(__xludf.DUMMYFUNCTION("IFERROR(AVERAGE(QUERY(SORT(GOOGLEFINANCE(""NSE:""&amp;A101,""price"",TODAY()-75,TODAY()),1,0),""select Col2 limit 50"")), """")"),548.581)</f>
        <v>548.581</v>
      </c>
      <c r="F101" s="13">
        <f>IFERROR(__xludf.DUMMYFUNCTION("IFERROR(AVERAGE(QUERY(SORT(GOOGLEFINANCE(""NSE:""&amp;A101,""price"",TODAY()-150,TODAY()),1,0),""select Col2 limit 100"")), """")"),570.5425)</f>
        <v>570.5425</v>
      </c>
      <c r="G101" s="13">
        <f>IFERROR(__xludf.DUMMYFUNCTION("IFERROR(AVERAGE(QUERY(SORT(GOOGLEFINANCE(""NSE:""&amp;A101,""price"",TODAY()-300,TODAY()),1,0),""select Col2 limit 200"")), """")"),568.8515000000002)</f>
        <v>568.8515</v>
      </c>
      <c r="H101" s="15" t="str">
        <f t="shared" si="1"/>
        <v>Unconfirmed</v>
      </c>
      <c r="I101" s="16">
        <f t="shared" si="2"/>
        <v>-1.556030001</v>
      </c>
      <c r="J101" s="7" t="str">
        <f>IFERROR(__xludf.DUMMYFUNCTION("IFERROR(IF(A101="""",""ENTER STOCK"",
  LET(
    raw_high, GOOGLEFINANCE(""NSE:"" &amp; A101, ""high"", TODAY()-365, TODAY()),
    high_date, IFERROR(TO_DATE(QUERY(raw_high, ""SELECT Col1 WHERE Col2 IS NOT NULL ORDER BY Col2 DESC LIMIT 1 LABEL Col1 ''"", 1"&amp;")), TODAY()-30),
    raw_data, IFERROR(GOOGLEFINANCE(""NSE:"" &amp; A101, ""close"", high_date, TODAY()), GOOGLEFINANCE(""NSE:"" &amp; A101,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01" s="7"/>
    </row>
    <row r="102">
      <c r="A102" s="8" t="s">
        <v>113</v>
      </c>
      <c r="B102" s="9">
        <v>2.63265974805E9</v>
      </c>
      <c r="C102" s="9">
        <v>701.0</v>
      </c>
      <c r="D102" s="12">
        <f>IFERROR(__xludf.DUMMYFUNCTION("GOOGLEFINANCE(""NSE:""&amp;A102,""price"")"),699.2)</f>
        <v>699.2</v>
      </c>
      <c r="E102" s="13">
        <f>IFERROR(__xludf.DUMMYFUNCTION("IFERROR(AVERAGE(QUERY(SORT(GOOGLEFINANCE(""NSE:""&amp;A102,""price"",TODAY()-75,TODAY()),1,0),""select Col2 limit 50"")), """")"),586.5380000000001)</f>
        <v>586.538</v>
      </c>
      <c r="F102" s="13">
        <f>IFERROR(__xludf.DUMMYFUNCTION("IFERROR(AVERAGE(QUERY(SORT(GOOGLEFINANCE(""NSE:""&amp;A102,""price"",TODAY()-150,TODAY()),1,0),""select Col2 limit 100"")), """")"),585.8450000000003)</f>
        <v>585.845</v>
      </c>
      <c r="G102" s="13">
        <f>IFERROR(__xludf.DUMMYFUNCTION("IFERROR(AVERAGE(QUERY(SORT(GOOGLEFINANCE(""NSE:""&amp;A102,""price"",TODAY()-300,TODAY()),1,0),""select Col2 limit 200"")), """")"),565.8787499999999)</f>
        <v>565.87875</v>
      </c>
      <c r="H102" s="15" t="str">
        <f t="shared" si="1"/>
        <v>Unconfirmed</v>
      </c>
      <c r="I102" s="16">
        <f t="shared" si="2"/>
        <v>23.56003826</v>
      </c>
      <c r="J102" s="7" t="str">
        <f>IFERROR(__xludf.DUMMYFUNCTION("IFERROR(IF(A102="""",""ENTER STOCK"",
  LET(
    raw_high, GOOGLEFINANCE(""NSE:"" &amp; A102, ""high"", TODAY()-365, TODAY()),
    high_date, IFERROR(TO_DATE(QUERY(raw_high, ""SELECT Col1 WHERE Col2 IS NOT NULL ORDER BY Col2 DESC LIMIT 1 LABEL Col1 ''"", 1"&amp;")), TODAY()-30),
    raw_data, IFERROR(GOOGLEFINANCE(""NSE:"" &amp; A102, ""close"", high_date, TODAY()), GOOGLEFINANCE(""NSE:"" &amp; A102,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02" s="7"/>
    </row>
    <row r="103">
      <c r="A103" s="8" t="s">
        <v>114</v>
      </c>
      <c r="B103" s="9">
        <v>2.5617703534E9</v>
      </c>
      <c r="C103" s="9">
        <v>1200.0</v>
      </c>
      <c r="D103" s="12">
        <f>IFERROR(__xludf.DUMMYFUNCTION("GOOGLEFINANCE(""NSE:""&amp;A103,""price"")"),1202.6)</f>
        <v>1202.6</v>
      </c>
      <c r="E103" s="13">
        <f>IFERROR(__xludf.DUMMYFUNCTION("IFERROR(AVERAGE(QUERY(SORT(GOOGLEFINANCE(""NSE:""&amp;A103,""price"",TODAY()-75,TODAY()),1,0),""select Col2 limit 50"")), """")"),1245.9559999999997)</f>
        <v>1245.956</v>
      </c>
      <c r="F103" s="13">
        <f>IFERROR(__xludf.DUMMYFUNCTION("IFERROR(AVERAGE(QUERY(SORT(GOOGLEFINANCE(""NSE:""&amp;A103,""price"",TODAY()-150,TODAY()),1,0),""select Col2 limit 100"")), """")"),1261.8599999999997)</f>
        <v>1261.86</v>
      </c>
      <c r="G103" s="13">
        <f>IFERROR(__xludf.DUMMYFUNCTION("IFERROR(AVERAGE(QUERY(SORT(GOOGLEFINANCE(""NSE:""&amp;A103,""price"",TODAY()-300,TODAY()),1,0),""select Col2 limit 200"")), """")"),1258.0429999999997)</f>
        <v>1258.043</v>
      </c>
      <c r="H103" s="15" t="str">
        <f t="shared" si="1"/>
        <v>In Bear Run</v>
      </c>
      <c r="I103" s="16">
        <f t="shared" si="2"/>
        <v>-4.407083065</v>
      </c>
      <c r="J103" s="7" t="str">
        <f>IFERROR(__xludf.DUMMYFUNCTION("IFERROR(IF(A103="""",""ENTER STOCK"",
  LET(
    raw_high, GOOGLEFINANCE(""NSE:"" &amp; A103, ""high"", TODAY()-365, TODAY()),
    high_date, IFERROR(TO_DATE(QUERY(raw_high, ""SELECT Col1 WHERE Col2 IS NOT NULL ORDER BY Col2 DESC LIMIT 1 LABEL Col1 ''"", 1"&amp;")), TODAY()-30),
    raw_data, IFERROR(GOOGLEFINANCE(""NSE:"" &amp; A103, ""close"", high_date, TODAY()), GOOGLEFINANCE(""NSE:"" &amp; A103,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03" s="7"/>
    </row>
    <row r="104">
      <c r="A104" s="8" t="s">
        <v>115</v>
      </c>
      <c r="B104" s="9">
        <v>2.5517297026E9</v>
      </c>
      <c r="C104" s="9">
        <v>319.45</v>
      </c>
      <c r="D104" s="12">
        <f>IFERROR(__xludf.DUMMYFUNCTION("GOOGLEFINANCE(""NSE:""&amp;A104,""price"")"),318.2)</f>
        <v>318.2</v>
      </c>
      <c r="E104" s="13">
        <f>IFERROR(__xludf.DUMMYFUNCTION("IFERROR(AVERAGE(QUERY(SORT(GOOGLEFINANCE(""NSE:""&amp;A104,""price"",TODAY()-75,TODAY()),1,0),""select Col2 limit 50"")), """")"),310.9150000000001)</f>
        <v>310.915</v>
      </c>
      <c r="F104" s="13">
        <f>IFERROR(__xludf.DUMMYFUNCTION("IFERROR(AVERAGE(QUERY(SORT(GOOGLEFINANCE(""NSE:""&amp;A104,""price"",TODAY()-150,TODAY()),1,0),""select Col2 limit 100"")), """")"),303.7935)</f>
        <v>303.7935</v>
      </c>
      <c r="G104" s="13">
        <f>IFERROR(__xludf.DUMMYFUNCTION("IFERROR(AVERAGE(QUERY(SORT(GOOGLEFINANCE(""NSE:""&amp;A104,""price"",TODAY()-300,TODAY()),1,0),""select Col2 limit 200"")), """")"),332.83674999999994)</f>
        <v>332.83675</v>
      </c>
      <c r="H104" s="15" t="str">
        <f t="shared" si="1"/>
        <v>Unconfirmed</v>
      </c>
      <c r="I104" s="16">
        <f t="shared" si="2"/>
        <v>-4.397576289</v>
      </c>
      <c r="J104" s="7" t="str">
        <f>IFERROR(__xludf.DUMMYFUNCTION("IFERROR(IF(A104="""",""ENTER STOCK"",
  LET(
    raw_high, GOOGLEFINANCE(""NSE:"" &amp; A104, ""high"", TODAY()-365, TODAY()),
    high_date, IFERROR(TO_DATE(QUERY(raw_high, ""SELECT Col1 WHERE Col2 IS NOT NULL ORDER BY Col2 DESC LIMIT 1 LABEL Col1 ''"", 1"&amp;")), TODAY()-30),
    raw_data, IFERROR(GOOGLEFINANCE(""NSE:"" &amp; A104, ""close"", high_date, TODAY()), GOOGLEFINANCE(""NSE:"" &amp; A104,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04" s="7"/>
    </row>
    <row r="105">
      <c r="A105" s="8" t="s">
        <v>116</v>
      </c>
      <c r="B105" s="9">
        <v>2.5485159922E9</v>
      </c>
      <c r="C105" s="9">
        <v>340.0</v>
      </c>
      <c r="D105" s="12">
        <f>IFERROR(__xludf.DUMMYFUNCTION("GOOGLEFINANCE(""NSE:""&amp;A105,""price"")"),339.85)</f>
        <v>339.85</v>
      </c>
      <c r="E105" s="13">
        <f>IFERROR(__xludf.DUMMYFUNCTION("IFERROR(AVERAGE(QUERY(SORT(GOOGLEFINANCE(""NSE:""&amp;A105,""price"",TODAY()-75,TODAY()),1,0),""select Col2 limit 50"")), """")"),350.65800000000013)</f>
        <v>350.658</v>
      </c>
      <c r="F105" s="13">
        <f>IFERROR(__xludf.DUMMYFUNCTION("IFERROR(AVERAGE(QUERY(SORT(GOOGLEFINANCE(""NSE:""&amp;A105,""price"",TODAY()-150,TODAY()),1,0),""select Col2 limit 100"")), """")"),368.9260000000002)</f>
        <v>368.926</v>
      </c>
      <c r="G105" s="13">
        <f>IFERROR(__xludf.DUMMYFUNCTION("IFERROR(AVERAGE(QUERY(SORT(GOOGLEFINANCE(""NSE:""&amp;A105,""price"",TODAY()-300,TODAY()),1,0),""select Col2 limit 200"")), """")"),357.24899999999985)</f>
        <v>357.249</v>
      </c>
      <c r="H105" s="15" t="str">
        <f t="shared" si="1"/>
        <v>In Bear Run</v>
      </c>
      <c r="I105" s="16">
        <f t="shared" si="2"/>
        <v>-4.870272555</v>
      </c>
      <c r="J105" s="7" t="str">
        <f>IFERROR(__xludf.DUMMYFUNCTION("IFERROR(IF(A105="""",""ENTER STOCK"",
  LET(
    raw_high, GOOGLEFINANCE(""NSE:"" &amp; A105, ""high"", TODAY()-365, TODAY()),
    high_date, IFERROR(TO_DATE(QUERY(raw_high, ""SELECT Col1 WHERE Col2 IS NOT NULL ORDER BY Col2 DESC LIMIT 1 LABEL Col1 ''"", 1"&amp;")), TODAY()-30),
    raw_data, IFERROR(GOOGLEFINANCE(""NSE:"" &amp; A105, ""close"", high_date, TODAY()), GOOGLEFINANCE(""NSE:"" &amp; A105,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05" s="7"/>
    </row>
    <row r="106">
      <c r="A106" s="8" t="s">
        <v>117</v>
      </c>
      <c r="B106" s="9">
        <v>2.5262876946E9</v>
      </c>
      <c r="C106" s="9">
        <v>3660.2</v>
      </c>
      <c r="D106" s="12">
        <f>IFERROR(__xludf.DUMMYFUNCTION("GOOGLEFINANCE(""NSE:""&amp;A106,""price"")"),3659.0)</f>
        <v>3659</v>
      </c>
      <c r="E106" s="13">
        <f>IFERROR(__xludf.DUMMYFUNCTION("IFERROR(AVERAGE(QUERY(SORT(GOOGLEFINANCE(""NSE:""&amp;A106,""price"",TODAY()-75,TODAY()),1,0),""select Col2 limit 50"")), """")"),3371.1459999999997)</f>
        <v>3371.146</v>
      </c>
      <c r="F106" s="13">
        <f>IFERROR(__xludf.DUMMYFUNCTION("IFERROR(AVERAGE(QUERY(SORT(GOOGLEFINANCE(""NSE:""&amp;A106,""price"",TODAY()-150,TODAY()),1,0),""select Col2 limit 100"")), """")"),3560.733999999999)</f>
        <v>3560.734</v>
      </c>
      <c r="G106" s="13">
        <f>IFERROR(__xludf.DUMMYFUNCTION("IFERROR(AVERAGE(QUERY(SORT(GOOGLEFINANCE(""NSE:""&amp;A106,""price"",TODAY()-300,TODAY()),1,0),""select Col2 limit 200"")), """")"),4045.680999999999)</f>
        <v>4045.681</v>
      </c>
      <c r="H106" s="15" t="str">
        <f t="shared" si="1"/>
        <v>Unconfirmed</v>
      </c>
      <c r="I106" s="16">
        <f t="shared" si="2"/>
        <v>-9.557871716</v>
      </c>
      <c r="J106" s="7" t="str">
        <f>IFERROR(__xludf.DUMMYFUNCTION("IFERROR(IF(A106="""",""ENTER STOCK"",
  LET(
    raw_high, GOOGLEFINANCE(""NSE:"" &amp; A106, ""high"", TODAY()-365, TODAY()),
    high_date, IFERROR(TO_DATE(QUERY(raw_high, ""SELECT Col1 WHERE Col2 IS NOT NULL ORDER BY Col2 DESC LIMIT 1 LABEL Col1 ''"", 1"&amp;")), TODAY()-30),
    raw_data, IFERROR(GOOGLEFINANCE(""NSE:"" &amp; A106, ""close"", high_date, TODAY()), GOOGLEFINANCE(""NSE:"" &amp; A106,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06" s="7"/>
    </row>
    <row r="107">
      <c r="A107" s="8" t="s">
        <v>118</v>
      </c>
      <c r="B107" s="9">
        <v>2.45660583235E9</v>
      </c>
      <c r="C107" s="9">
        <v>335.0</v>
      </c>
      <c r="D107" s="12">
        <f>IFERROR(__xludf.DUMMYFUNCTION("GOOGLEFINANCE(""NSE:""&amp;A107,""price"")"),335.9)</f>
        <v>335.9</v>
      </c>
      <c r="E107" s="13">
        <f>IFERROR(__xludf.DUMMYFUNCTION("IFERROR(AVERAGE(QUERY(SORT(GOOGLEFINANCE(""NSE:""&amp;A107,""price"",TODAY()-75,TODAY()),1,0),""select Col2 limit 50"")), """")"),357.861)</f>
        <v>357.861</v>
      </c>
      <c r="F107" s="13">
        <f>IFERROR(__xludf.DUMMYFUNCTION("IFERROR(AVERAGE(QUERY(SORT(GOOGLEFINANCE(""NSE:""&amp;A107,""price"",TODAY()-150,TODAY()),1,0),""select Col2 limit 100"")), """")"),351.67999999999995)</f>
        <v>351.68</v>
      </c>
      <c r="G107" s="13">
        <f>IFERROR(__xludf.DUMMYFUNCTION("IFERROR(AVERAGE(QUERY(SORT(GOOGLEFINANCE(""NSE:""&amp;A107,""price"",TODAY()-300,TODAY()),1,0),""select Col2 limit 200"")), """")"),354.7039999999999)</f>
        <v>354.704</v>
      </c>
      <c r="H107" s="15" t="str">
        <f t="shared" si="1"/>
        <v>In Bear Run</v>
      </c>
      <c r="I107" s="16">
        <f t="shared" si="2"/>
        <v>-5.301321665</v>
      </c>
      <c r="J107" s="7" t="str">
        <f>IFERROR(__xludf.DUMMYFUNCTION("IFERROR(IF(A107="""",""ENTER STOCK"",
  LET(
    raw_high, GOOGLEFINANCE(""NSE:"" &amp; A107, ""high"", TODAY()-365, TODAY()),
    high_date, IFERROR(TO_DATE(QUERY(raw_high, ""SELECT Col1 WHERE Col2 IS NOT NULL ORDER BY Col2 DESC LIMIT 1 LABEL Col1 ''"", 1"&amp;")), TODAY()-30),
    raw_data, IFERROR(GOOGLEFINANCE(""NSE:"" &amp; A107, ""close"", high_date, TODAY()), GOOGLEFINANCE(""NSE:"" &amp; A107,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07" s="7"/>
    </row>
    <row r="108">
      <c r="A108" s="8" t="s">
        <v>119</v>
      </c>
      <c r="B108" s="9">
        <v>2.45242919515E9</v>
      </c>
      <c r="C108" s="9">
        <v>443.8</v>
      </c>
      <c r="D108" s="12">
        <f>IFERROR(__xludf.DUMMYFUNCTION("GOOGLEFINANCE(""NSE:""&amp;A108,""price"")"),443.4)</f>
        <v>443.4</v>
      </c>
      <c r="E108" s="13">
        <f>IFERROR(__xludf.DUMMYFUNCTION("IFERROR(AVERAGE(QUERY(SORT(GOOGLEFINANCE(""NSE:""&amp;A108,""price"",TODAY()-75,TODAY()),1,0),""select Col2 limit 50"")), """")"),454.5404545454547)</f>
        <v>454.5404545</v>
      </c>
      <c r="F108" s="13">
        <f>IFERROR(__xludf.DUMMYFUNCTION("IFERROR(AVERAGE(QUERY(SORT(GOOGLEFINANCE(""NSE:""&amp;A108,""price"",TODAY()-150,TODAY()),1,0),""select Col2 limit 100"")), """")"),454.5404545454547)</f>
        <v>454.5404545</v>
      </c>
      <c r="G108" s="13">
        <f>IFERROR(__xludf.DUMMYFUNCTION("IFERROR(AVERAGE(QUERY(SORT(GOOGLEFINANCE(""NSE:""&amp;A108,""price"",TODAY()-300,TODAY()),1,0),""select Col2 limit 200"")), """")"),454.5404545454547)</f>
        <v>454.5404545</v>
      </c>
      <c r="H108" s="15" t="str">
        <f t="shared" si="1"/>
        <v>In Bear Run</v>
      </c>
      <c r="I108" s="16">
        <f t="shared" si="2"/>
        <v>-2.45092696</v>
      </c>
      <c r="J108" s="7" t="str">
        <f>IFERROR(__xludf.DUMMYFUNCTION("IFERROR(IF(A108="""",""ENTER STOCK"",
  LET(
    raw_high, GOOGLEFINANCE(""NSE:"" &amp; A108, ""high"", TODAY()-365, TODAY()),
    high_date, IFERROR(TO_DATE(QUERY(raw_high, ""SELECT Col1 WHERE Col2 IS NOT NULL ORDER BY Col2 DESC LIMIT 1 LABEL Col1 ''"", 1"&amp;")), TODAY()-30),
    raw_data, IFERROR(GOOGLEFINANCE(""NSE:"" &amp; A108, ""close"", high_date, TODAY()), GOOGLEFINANCE(""NSE:"" &amp; A108,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08" s="7"/>
    </row>
    <row r="109">
      <c r="A109" s="8" t="s">
        <v>120</v>
      </c>
      <c r="B109" s="9">
        <v>2.4206336397E9</v>
      </c>
      <c r="C109" s="9">
        <v>4307.0</v>
      </c>
      <c r="D109" s="12">
        <f>IFERROR(__xludf.DUMMYFUNCTION("GOOGLEFINANCE(""NSE:""&amp;A109,""price"")"),4314.5)</f>
        <v>4314.5</v>
      </c>
      <c r="E109" s="13">
        <f>IFERROR(__xludf.DUMMYFUNCTION("IFERROR(AVERAGE(QUERY(SORT(GOOGLEFINANCE(""NSE:""&amp;A109,""price"",TODAY()-75,TODAY()),1,0),""select Col2 limit 50"")), """")"),3774.0560000000005)</f>
        <v>3774.056</v>
      </c>
      <c r="F109" s="13">
        <f>IFERROR(__xludf.DUMMYFUNCTION("IFERROR(AVERAGE(QUERY(SORT(GOOGLEFINANCE(""NSE:""&amp;A109,""price"",TODAY()-150,TODAY()),1,0),""select Col2 limit 100"")), """")"),3646.6290000000013)</f>
        <v>3646.629</v>
      </c>
      <c r="G109" s="13">
        <f>IFERROR(__xludf.DUMMYFUNCTION("IFERROR(AVERAGE(QUERY(SORT(GOOGLEFINANCE(""NSE:""&amp;A109,""price"",TODAY()-300,TODAY()),1,0),""select Col2 limit 200"")), """")"),3648.6279999999997)</f>
        <v>3648.628</v>
      </c>
      <c r="H109" s="15" t="str">
        <f t="shared" si="1"/>
        <v>Unconfirmed</v>
      </c>
      <c r="I109" s="16">
        <f t="shared" si="2"/>
        <v>18.24992847</v>
      </c>
      <c r="J109" s="7" t="str">
        <f>IFERROR(__xludf.DUMMYFUNCTION("IFERROR(IF(A109="""",""ENTER STOCK"",
  LET(
    raw_high, GOOGLEFINANCE(""NSE:"" &amp; A109, ""high"", TODAY()-365, TODAY()),
    high_date, IFERROR(TO_DATE(QUERY(raw_high, ""SELECT Col1 WHERE Col2 IS NOT NULL ORDER BY Col2 DESC LIMIT 1 LABEL Col1 ''"", 1"&amp;")), TODAY()-30),
    raw_data, IFERROR(GOOGLEFINANCE(""NSE:"" &amp; A109, ""close"", high_date, TODAY()), GOOGLEFINANCE(""NSE:"" &amp; A109,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09" s="7"/>
    </row>
    <row r="110">
      <c r="A110" s="8" t="s">
        <v>121</v>
      </c>
      <c r="B110" s="9">
        <v>2.4101436525E9</v>
      </c>
      <c r="C110" s="9">
        <v>8066.5</v>
      </c>
      <c r="D110" s="12">
        <f>IFERROR(__xludf.DUMMYFUNCTION("GOOGLEFINANCE(""NSE:""&amp;A110,""price"")"),8100.0)</f>
        <v>8100</v>
      </c>
      <c r="E110" s="13">
        <f>IFERROR(__xludf.DUMMYFUNCTION("IFERROR(AVERAGE(QUERY(SORT(GOOGLEFINANCE(""NSE:""&amp;A110,""price"",TODAY()-75,TODAY()),1,0),""select Col2 limit 50"")), """")"),7583.7)</f>
        <v>7583.7</v>
      </c>
      <c r="F110" s="13">
        <f>IFERROR(__xludf.DUMMYFUNCTION("IFERROR(AVERAGE(QUERY(SORT(GOOGLEFINANCE(""NSE:""&amp;A110,""price"",TODAY()-150,TODAY()),1,0),""select Col2 limit 100"")), """")"),7324.745)</f>
        <v>7324.745</v>
      </c>
      <c r="G110" s="13">
        <f>IFERROR(__xludf.DUMMYFUNCTION("IFERROR(AVERAGE(QUERY(SORT(GOOGLEFINANCE(""NSE:""&amp;A110,""price"",TODAY()-300,TODAY()),1,0),""select Col2 limit 200"")), """")"),7295.085)</f>
        <v>7295.085</v>
      </c>
      <c r="H110" s="15" t="str">
        <f t="shared" si="1"/>
        <v>Unconfirmed</v>
      </c>
      <c r="I110" s="16">
        <f t="shared" si="2"/>
        <v>11.03366171</v>
      </c>
      <c r="J110" s="7" t="str">
        <f>IFERROR(__xludf.DUMMYFUNCTION("IFERROR(IF(A110="""",""ENTER STOCK"",
  LET(
    raw_high, GOOGLEFINANCE(""NSE:"" &amp; A110, ""high"", TODAY()-365, TODAY()),
    high_date, IFERROR(TO_DATE(QUERY(raw_high, ""SELECT Col1 WHERE Col2 IS NOT NULL ORDER BY Col2 DESC LIMIT 1 LABEL Col1 ''"", 1"&amp;")), TODAY()-30),
    raw_data, IFERROR(GOOGLEFINANCE(""NSE:"" &amp; A110, ""close"", high_date, TODAY()), GOOGLEFINANCE(""NSE:"" &amp; A110,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10" s="7"/>
    </row>
    <row r="111">
      <c r="A111" s="8" t="s">
        <v>122</v>
      </c>
      <c r="B111" s="9">
        <v>2.3859557712E9</v>
      </c>
      <c r="C111" s="9">
        <v>2077.0</v>
      </c>
      <c r="D111" s="12">
        <f>IFERROR(__xludf.DUMMYFUNCTION("GOOGLEFINANCE(""NSE:""&amp;A111,""price"")"),2072.1)</f>
        <v>2072.1</v>
      </c>
      <c r="E111" s="13">
        <f>IFERROR(__xludf.DUMMYFUNCTION("IFERROR(AVERAGE(QUERY(SORT(GOOGLEFINANCE(""NSE:""&amp;A111,""price"",TODAY()-75,TODAY()),1,0),""select Col2 limit 50"")), """")"),2138.6820000000007)</f>
        <v>2138.682</v>
      </c>
      <c r="F111" s="13">
        <f>IFERROR(__xludf.DUMMYFUNCTION("IFERROR(AVERAGE(QUERY(SORT(GOOGLEFINANCE(""NSE:""&amp;A111,""price"",TODAY()-150,TODAY()),1,0),""select Col2 limit 100"")), """")"),2167.6360000000004)</f>
        <v>2167.636</v>
      </c>
      <c r="G111" s="13">
        <f>IFERROR(__xludf.DUMMYFUNCTION("IFERROR(AVERAGE(QUERY(SORT(GOOGLEFINANCE(""NSE:""&amp;A111,""price"",TODAY()-300,TODAY()),1,0),""select Col2 limit 200"")), """")"),2264.464)</f>
        <v>2264.464</v>
      </c>
      <c r="H111" s="15" t="str">
        <f t="shared" si="1"/>
        <v>In Bear Run</v>
      </c>
      <c r="I111" s="16">
        <f t="shared" si="2"/>
        <v>-8.494902105</v>
      </c>
      <c r="J111" s="7" t="str">
        <f>IFERROR(__xludf.DUMMYFUNCTION("IFERROR(IF(A111="""",""ENTER STOCK"",
  LET(
    raw_high, GOOGLEFINANCE(""NSE:"" &amp; A111, ""high"", TODAY()-365, TODAY()),
    high_date, IFERROR(TO_DATE(QUERY(raw_high, ""SELECT Col1 WHERE Col2 IS NOT NULL ORDER BY Col2 DESC LIMIT 1 LABEL Col1 ''"", 1"&amp;")), TODAY()-30),
    raw_data, IFERROR(GOOGLEFINANCE(""NSE:"" &amp; A111, ""close"", high_date, TODAY()), GOOGLEFINANCE(""NSE:"" &amp; A111,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11" s="7"/>
    </row>
    <row r="112">
      <c r="A112" s="8" t="s">
        <v>123</v>
      </c>
      <c r="B112" s="9">
        <v>2.38521499978E9</v>
      </c>
      <c r="C112" s="9">
        <v>206.64</v>
      </c>
      <c r="D112" s="12">
        <f>IFERROR(__xludf.DUMMYFUNCTION("GOOGLEFINANCE(""NSE:""&amp;A112,""price"")"),208.25)</f>
        <v>208.25</v>
      </c>
      <c r="E112" s="13">
        <f>IFERROR(__xludf.DUMMYFUNCTION("IFERROR(AVERAGE(QUERY(SORT(GOOGLEFINANCE(""NSE:""&amp;A112,""price"",TODAY()-75,TODAY()),1,0),""select Col2 limit 50"")), """")"),180.41039999999998)</f>
        <v>180.4104</v>
      </c>
      <c r="F112" s="13">
        <f>IFERROR(__xludf.DUMMYFUNCTION("IFERROR(AVERAGE(QUERY(SORT(GOOGLEFINANCE(""NSE:""&amp;A112,""price"",TODAY()-150,TODAY()),1,0),""select Col2 limit 100"")), """")"),170.07070000000004)</f>
        <v>170.0707</v>
      </c>
      <c r="G112" s="13">
        <f>IFERROR(__xludf.DUMMYFUNCTION("IFERROR(AVERAGE(QUERY(SORT(GOOGLEFINANCE(""NSE:""&amp;A112,""price"",TODAY()-300,TODAY()),1,0),""select Col2 limit 200"")), """")"),171.22735)</f>
        <v>171.22735</v>
      </c>
      <c r="H112" s="15" t="str">
        <f t="shared" si="1"/>
        <v>Unconfirmed</v>
      </c>
      <c r="I112" s="16">
        <f t="shared" si="2"/>
        <v>21.62192547</v>
      </c>
      <c r="J112" s="7" t="str">
        <f>IFERROR(__xludf.DUMMYFUNCTION("IFERROR(IF(A112="""",""ENTER STOCK"",
  LET(
    raw_high, GOOGLEFINANCE(""NSE:"" &amp; A112, ""high"", TODAY()-365, TODAY()),
    high_date, IFERROR(TO_DATE(QUERY(raw_high, ""SELECT Col1 WHERE Col2 IS NOT NULL ORDER BY Col2 DESC LIMIT 1 LABEL Col1 ''"", 1"&amp;")), TODAY()-30),
    raw_data, IFERROR(GOOGLEFINANCE(""NSE:"" &amp; A112, ""close"", high_date, TODAY()), GOOGLEFINANCE(""NSE:"" &amp; A112,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12" s="7"/>
    </row>
    <row r="113">
      <c r="A113" s="8" t="s">
        <v>124</v>
      </c>
      <c r="B113" s="9">
        <v>2.358098038E9</v>
      </c>
      <c r="C113" s="9">
        <v>2970.2</v>
      </c>
      <c r="D113" s="12">
        <f>IFERROR(__xludf.DUMMYFUNCTION("GOOGLEFINANCE(""NSE:""&amp;A113,""price"")"),2969.9)</f>
        <v>2969.9</v>
      </c>
      <c r="E113" s="13">
        <f>IFERROR(__xludf.DUMMYFUNCTION("IFERROR(AVERAGE(QUERY(SORT(GOOGLEFINANCE(""NSE:""&amp;A113,""price"",TODAY()-75,TODAY()),1,0),""select Col2 limit 50"")), """")"),2454.988)</f>
        <v>2454.988</v>
      </c>
      <c r="F113" s="13">
        <f>IFERROR(__xludf.DUMMYFUNCTION("IFERROR(AVERAGE(QUERY(SORT(GOOGLEFINANCE(""NSE:""&amp;A113,""price"",TODAY()-150,TODAY()),1,0),""select Col2 limit 100"")), """")"),2174.361)</f>
        <v>2174.361</v>
      </c>
      <c r="G113" s="13">
        <f>IFERROR(__xludf.DUMMYFUNCTION("IFERROR(AVERAGE(QUERY(SORT(GOOGLEFINANCE(""NSE:""&amp;A113,""price"",TODAY()-300,TODAY()),1,0),""select Col2 limit 200"")), """")"),1970.9859999999992)</f>
        <v>1970.986</v>
      </c>
      <c r="H113" s="15" t="str">
        <f t="shared" si="1"/>
        <v>Unconfirmed</v>
      </c>
      <c r="I113" s="16">
        <f t="shared" si="2"/>
        <v>50.68092823</v>
      </c>
      <c r="J113" s="7" t="str">
        <f>IFERROR(__xludf.DUMMYFUNCTION("IFERROR(IF(A113="""",""ENTER STOCK"",
  LET(
    raw_high, GOOGLEFINANCE(""NSE:"" &amp; A113, ""high"", TODAY()-365, TODAY()),
    high_date, IFERROR(TO_DATE(QUERY(raw_high, ""SELECT Col1 WHERE Col2 IS NOT NULL ORDER BY Col2 DESC LIMIT 1 LABEL Col1 ''"", 1"&amp;")), TODAY()-30),
    raw_data, IFERROR(GOOGLEFINANCE(""NSE:"" &amp; A113, ""close"", high_date, TODAY()), GOOGLEFINANCE(""NSE:"" &amp; A113,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13" s="7"/>
    </row>
    <row r="114">
      <c r="A114" s="8" t="s">
        <v>125</v>
      </c>
      <c r="B114" s="9">
        <v>2.314961004E9</v>
      </c>
      <c r="C114" s="9">
        <v>11619.0</v>
      </c>
      <c r="D114" s="12">
        <f>IFERROR(__xludf.DUMMYFUNCTION("GOOGLEFINANCE(""NSE:""&amp;A114,""price"")"),11620.0)</f>
        <v>11620</v>
      </c>
      <c r="E114" s="13">
        <f>IFERROR(__xludf.DUMMYFUNCTION("IFERROR(AVERAGE(QUERY(SORT(GOOGLEFINANCE(""NSE:""&amp;A114,""price"",TODAY()-75,TODAY()),1,0),""select Col2 limit 50"")), """")"),11608.04)</f>
        <v>11608.04</v>
      </c>
      <c r="F114" s="13">
        <f>IFERROR(__xludf.DUMMYFUNCTION("IFERROR(AVERAGE(QUERY(SORT(GOOGLEFINANCE(""NSE:""&amp;A114,""price"",TODAY()-150,TODAY()),1,0),""select Col2 limit 100"")), """")"),11551.38)</f>
        <v>11551.38</v>
      </c>
      <c r="G114" s="13">
        <f>IFERROR(__xludf.DUMMYFUNCTION("IFERROR(AVERAGE(QUERY(SORT(GOOGLEFINANCE(""NSE:""&amp;A114,""price"",TODAY()-300,TODAY()),1,0),""select Col2 limit 200"")), """")"),11796.75)</f>
        <v>11796.75</v>
      </c>
      <c r="H114" s="15" t="str">
        <f t="shared" si="1"/>
        <v>Unconfirmed</v>
      </c>
      <c r="I114" s="16">
        <f t="shared" si="2"/>
        <v>-1.498294022</v>
      </c>
      <c r="J114" s="7" t="str">
        <f>IFERROR(__xludf.DUMMYFUNCTION("IFERROR(IF(A114="""",""ENTER STOCK"",
  LET(
    raw_high, GOOGLEFINANCE(""NSE:"" &amp; A114, ""high"", TODAY()-365, TODAY()),
    high_date, IFERROR(TO_DATE(QUERY(raw_high, ""SELECT Col1 WHERE Col2 IS NOT NULL ORDER BY Col2 DESC LIMIT 1 LABEL Col1 ''"", 1"&amp;")), TODAY()-30),
    raw_data, IFERROR(GOOGLEFINANCE(""NSE:"" &amp; A114, ""close"", high_date, TODAY()), GOOGLEFINANCE(""NSE:"" &amp; A114,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14" s="7"/>
    </row>
    <row r="115">
      <c r="A115" s="8" t="s">
        <v>126</v>
      </c>
      <c r="B115" s="9">
        <v>2.2998593411E9</v>
      </c>
      <c r="C115" s="9">
        <v>4737.8</v>
      </c>
      <c r="D115" s="12">
        <f>IFERROR(__xludf.DUMMYFUNCTION("GOOGLEFINANCE(""NSE:""&amp;A115,""price"")"),4740.0)</f>
        <v>4740</v>
      </c>
      <c r="E115" s="13">
        <f>IFERROR(__xludf.DUMMYFUNCTION("IFERROR(AVERAGE(QUERY(SORT(GOOGLEFINANCE(""NSE:""&amp;A115,""price"",TODAY()-75,TODAY()),1,0),""select Col2 limit 50"")), """")"),4119.914)</f>
        <v>4119.914</v>
      </c>
      <c r="F115" s="13">
        <f>IFERROR(__xludf.DUMMYFUNCTION("IFERROR(AVERAGE(QUERY(SORT(GOOGLEFINANCE(""NSE:""&amp;A115,""price"",TODAY()-150,TODAY()),1,0),""select Col2 limit 100"")), """")"),3803.365)</f>
        <v>3803.365</v>
      </c>
      <c r="G115" s="13">
        <f>IFERROR(__xludf.DUMMYFUNCTION("IFERROR(AVERAGE(QUERY(SORT(GOOGLEFINANCE(""NSE:""&amp;A115,""price"",TODAY()-300,TODAY()),1,0),""select Col2 limit 200"")), """")"),3621.3324999999995)</f>
        <v>3621.3325</v>
      </c>
      <c r="H115" s="15" t="str">
        <f t="shared" si="1"/>
        <v>Unconfirmed</v>
      </c>
      <c r="I115" s="16">
        <f t="shared" si="2"/>
        <v>30.89104632</v>
      </c>
      <c r="J115" s="7" t="str">
        <f>IFERROR(__xludf.DUMMYFUNCTION("IFERROR(IF(A115="""",""ENTER STOCK"",
  LET(
    raw_high, GOOGLEFINANCE(""NSE:"" &amp; A115, ""high"", TODAY()-365, TODAY()),
    high_date, IFERROR(TO_DATE(QUERY(raw_high, ""SELECT Col1 WHERE Col2 IS NOT NULL ORDER BY Col2 DESC LIMIT 1 LABEL Col1 ''"", 1"&amp;")), TODAY()-30),
    raw_data, IFERROR(GOOGLEFINANCE(""NSE:"" &amp; A115, ""close"", high_date, TODAY()), GOOGLEFINANCE(""NSE:"" &amp; A115,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15" s="7"/>
    </row>
    <row r="116">
      <c r="A116" s="8" t="s">
        <v>127</v>
      </c>
      <c r="B116" s="9">
        <v>2.2961614573E9</v>
      </c>
      <c r="C116" s="9">
        <v>384.35</v>
      </c>
      <c r="D116" s="12">
        <f>IFERROR(__xludf.DUMMYFUNCTION("GOOGLEFINANCE(""NSE:""&amp;A116,""price"")"),385.35)</f>
        <v>385.35</v>
      </c>
      <c r="E116" s="13">
        <f>IFERROR(__xludf.DUMMYFUNCTION("IFERROR(AVERAGE(QUERY(SORT(GOOGLEFINANCE(""NSE:""&amp;A116,""price"",TODAY()-75,TODAY()),1,0),""select Col2 limit 50"")), """")"),397.6360000000001)</f>
        <v>397.636</v>
      </c>
      <c r="F116" s="13">
        <f>IFERROR(__xludf.DUMMYFUNCTION("IFERROR(AVERAGE(QUERY(SORT(GOOGLEFINANCE(""NSE:""&amp;A116,""price"",TODAY()-150,TODAY()),1,0),""select Col2 limit 100"")), """")"),409.5155000000002)</f>
        <v>409.5155</v>
      </c>
      <c r="G116" s="13">
        <f>IFERROR(__xludf.DUMMYFUNCTION("IFERROR(AVERAGE(QUERY(SORT(GOOGLEFINANCE(""NSE:""&amp;A116,""price"",TODAY()-300,TODAY()),1,0),""select Col2 limit 200"")), """")"),416.1065000000004)</f>
        <v>416.1065</v>
      </c>
      <c r="H116" s="15" t="str">
        <f t="shared" si="1"/>
        <v>In Bear Run</v>
      </c>
      <c r="I116" s="16">
        <f t="shared" si="2"/>
        <v>-7.391497129</v>
      </c>
      <c r="J116" s="7" t="str">
        <f>IFERROR(__xludf.DUMMYFUNCTION("IFERROR(IF(A116="""",""ENTER STOCK"",
  LET(
    raw_high, GOOGLEFINANCE(""NSE:"" &amp; A116, ""high"", TODAY()-365, TODAY()),
    high_date, IFERROR(TO_DATE(QUERY(raw_high, ""SELECT Col1 WHERE Col2 IS NOT NULL ORDER BY Col2 DESC LIMIT 1 LABEL Col1 ''"", 1"&amp;")), TODAY()-30),
    raw_data, IFERROR(GOOGLEFINANCE(""NSE:"" &amp; A116, ""close"", high_date, TODAY()), GOOGLEFINANCE(""NSE:"" &amp; A116,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16" s="7"/>
    </row>
    <row r="117">
      <c r="A117" s="8" t="s">
        <v>128</v>
      </c>
      <c r="B117" s="9">
        <v>2.291139307E9</v>
      </c>
      <c r="C117" s="9">
        <v>10005.0</v>
      </c>
      <c r="D117" s="12">
        <f>IFERROR(__xludf.DUMMYFUNCTION("GOOGLEFINANCE(""NSE:""&amp;A117,""price"")"),9939.0)</f>
        <v>9939</v>
      </c>
      <c r="E117" s="13">
        <f>IFERROR(__xludf.DUMMYFUNCTION("IFERROR(AVERAGE(QUERY(SORT(GOOGLEFINANCE(""NSE:""&amp;A117,""price"",TODAY()-75,TODAY()),1,0),""select Col2 limit 50"")), """")"),8785.66)</f>
        <v>8785.66</v>
      </c>
      <c r="F117" s="13">
        <f>IFERROR(__xludf.DUMMYFUNCTION("IFERROR(AVERAGE(QUERY(SORT(GOOGLEFINANCE(""NSE:""&amp;A117,""price"",TODAY()-150,TODAY()),1,0),""select Col2 limit 100"")), """")"),8024.08)</f>
        <v>8024.08</v>
      </c>
      <c r="G117" s="13">
        <f>IFERROR(__xludf.DUMMYFUNCTION("IFERROR(AVERAGE(QUERY(SORT(GOOGLEFINANCE(""NSE:""&amp;A117,""price"",TODAY()-300,TODAY()),1,0),""select Col2 limit 200"")), """")"),7939.1025)</f>
        <v>7939.1025</v>
      </c>
      <c r="H117" s="15" t="str">
        <f t="shared" si="1"/>
        <v>Unconfirmed</v>
      </c>
      <c r="I117" s="16">
        <f t="shared" si="2"/>
        <v>25.19047336</v>
      </c>
      <c r="J117" s="7" t="str">
        <f>IFERROR(__xludf.DUMMYFUNCTION("IFERROR(IF(A117="""",""ENTER STOCK"",
  LET(
    raw_high, GOOGLEFINANCE(""NSE:"" &amp; A117, ""high"", TODAY()-365, TODAY()),
    high_date, IFERROR(TO_DATE(QUERY(raw_high, ""SELECT Col1 WHERE Col2 IS NOT NULL ORDER BY Col2 DESC LIMIT 1 LABEL Col1 ''"", 1"&amp;")), TODAY()-30),
    raw_data, IFERROR(GOOGLEFINANCE(""NSE:"" &amp; A117, ""close"", high_date, TODAY()), GOOGLEFINANCE(""NSE:"" &amp; A117,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17" s="7"/>
    </row>
    <row r="118">
      <c r="A118" s="8" t="s">
        <v>129</v>
      </c>
      <c r="B118" s="9">
        <v>2.26875966905E9</v>
      </c>
      <c r="C118" s="9">
        <v>903.15</v>
      </c>
      <c r="D118" s="12">
        <f>IFERROR(__xludf.DUMMYFUNCTION("GOOGLEFINANCE(""NSE:""&amp;A118,""price"")"),907.0)</f>
        <v>907</v>
      </c>
      <c r="E118" s="13">
        <f>IFERROR(__xludf.DUMMYFUNCTION("IFERROR(AVERAGE(QUERY(SORT(GOOGLEFINANCE(""NSE:""&amp;A118,""price"",TODAY()-75,TODAY()),1,0),""select Col2 limit 50"")), """")"),918.1400000000001)</f>
        <v>918.14</v>
      </c>
      <c r="F118" s="13">
        <f>IFERROR(__xludf.DUMMYFUNCTION("IFERROR(AVERAGE(QUERY(SORT(GOOGLEFINANCE(""NSE:""&amp;A118,""price"",TODAY()-150,TODAY()),1,0),""select Col2 limit 100"")), """")"),999.8505)</f>
        <v>999.8505</v>
      </c>
      <c r="G118" s="13">
        <f>IFERROR(__xludf.DUMMYFUNCTION("IFERROR(AVERAGE(QUERY(SORT(GOOGLEFINANCE(""NSE:""&amp;A118,""price"",TODAY()-300,TODAY()),1,0),""select Col2 limit 200"")), """")"),942.1477499999996)</f>
        <v>942.14775</v>
      </c>
      <c r="H118" s="15" t="str">
        <f t="shared" si="1"/>
        <v>In Bear Run</v>
      </c>
      <c r="I118" s="16">
        <f t="shared" si="2"/>
        <v>-3.730598518</v>
      </c>
      <c r="J118" s="7" t="str">
        <f>IFERROR(__xludf.DUMMYFUNCTION("IFERROR(IF(A118="""",""ENTER STOCK"",
  LET(
    raw_high, GOOGLEFINANCE(""NSE:"" &amp; A118, ""high"", TODAY()-365, TODAY()),
    high_date, IFERROR(TO_DATE(QUERY(raw_high, ""SELECT Col1 WHERE Col2 IS NOT NULL ORDER BY Col2 DESC LIMIT 1 LABEL Col1 ''"", 1"&amp;")), TODAY()-30),
    raw_data, IFERROR(GOOGLEFINANCE(""NSE:"" &amp; A118, ""close"", high_date, TODAY()), GOOGLEFINANCE(""NSE:"" &amp; A118,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18" s="7"/>
    </row>
    <row r="119">
      <c r="A119" s="8" t="s">
        <v>130</v>
      </c>
      <c r="B119" s="9">
        <v>2.2606295095E9</v>
      </c>
      <c r="C119" s="9">
        <v>1499.1</v>
      </c>
      <c r="D119" s="12">
        <f>IFERROR(__xludf.DUMMYFUNCTION("GOOGLEFINANCE(""NSE:""&amp;A119,""price"")"),1500.2)</f>
        <v>1500.2</v>
      </c>
      <c r="E119" s="13">
        <f>IFERROR(__xludf.DUMMYFUNCTION("IFERROR(AVERAGE(QUERY(SORT(GOOGLEFINANCE(""NSE:""&amp;A119,""price"",TODAY()-75,TODAY()),1,0),""select Col2 limit 50"")), """")"),1450.6119999999996)</f>
        <v>1450.612</v>
      </c>
      <c r="F119" s="13">
        <f>IFERROR(__xludf.DUMMYFUNCTION("IFERROR(AVERAGE(QUERY(SORT(GOOGLEFINANCE(""NSE:""&amp;A119,""price"",TODAY()-150,TODAY()),1,0),""select Col2 limit 100"")), """")"),1400.941)</f>
        <v>1400.941</v>
      </c>
      <c r="G119" s="13">
        <f>IFERROR(__xludf.DUMMYFUNCTION("IFERROR(AVERAGE(QUERY(SORT(GOOGLEFINANCE(""NSE:""&amp;A119,""price"",TODAY()-300,TODAY()),1,0),""select Col2 limit 200"")), """")"),1337.5269999999998)</f>
        <v>1337.527</v>
      </c>
      <c r="H119" s="15" t="str">
        <f t="shared" si="1"/>
        <v>Unconfirmed</v>
      </c>
      <c r="I119" s="16">
        <f t="shared" si="2"/>
        <v>12.16222177</v>
      </c>
      <c r="J119" s="7" t="str">
        <f>IFERROR(__xludf.DUMMYFUNCTION("IFERROR(IF(A119="""",""ENTER STOCK"",
  LET(
    raw_high, GOOGLEFINANCE(""NSE:"" &amp; A119, ""high"", TODAY()-365, TODAY()),
    high_date, IFERROR(TO_DATE(QUERY(raw_high, ""SELECT Col1 WHERE Col2 IS NOT NULL ORDER BY Col2 DESC LIMIT 1 LABEL Col1 ''"", 1"&amp;")), TODAY()-30),
    raw_data, IFERROR(GOOGLEFINANCE(""NSE:"" &amp; A119, ""close"", high_date, TODAY()), GOOGLEFINANCE(""NSE:"" &amp; A119,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19" s="7"/>
    </row>
    <row r="120">
      <c r="A120" s="8" t="s">
        <v>131</v>
      </c>
      <c r="B120" s="9">
        <v>2.25576136487E9</v>
      </c>
      <c r="C120" s="9">
        <v>196.17</v>
      </c>
      <c r="D120" s="12">
        <f>IFERROR(__xludf.DUMMYFUNCTION("GOOGLEFINANCE(""NSE:""&amp;A120,""price"")"),196.66)</f>
        <v>196.66</v>
      </c>
      <c r="E120" s="13">
        <f>IFERROR(__xludf.DUMMYFUNCTION("IFERROR(AVERAGE(QUERY(SORT(GOOGLEFINANCE(""NSE:""&amp;A120,""price"",TODAY()-75,TODAY()),1,0),""select Col2 limit 50"")), """")"),198.8366)</f>
        <v>198.8366</v>
      </c>
      <c r="F120" s="13">
        <f>IFERROR(__xludf.DUMMYFUNCTION("IFERROR(AVERAGE(QUERY(SORT(GOOGLEFINANCE(""NSE:""&amp;A120,""price"",TODAY()-150,TODAY()),1,0),""select Col2 limit 100"")), """")"),194.61999999999992)</f>
        <v>194.62</v>
      </c>
      <c r="G120" s="13">
        <f>IFERROR(__xludf.DUMMYFUNCTION("IFERROR(AVERAGE(QUERY(SORT(GOOGLEFINANCE(""NSE:""&amp;A120,""price"",TODAY()-300,TODAY()),1,0),""select Col2 limit 200"")), """")"),178.76470588235293)</f>
        <v>178.7647059</v>
      </c>
      <c r="H120" s="15" t="str">
        <f t="shared" si="1"/>
        <v>Unconfirmed</v>
      </c>
      <c r="I120" s="16">
        <f t="shared" si="2"/>
        <v>10.01052978</v>
      </c>
      <c r="J120" s="7" t="str">
        <f>IFERROR(__xludf.DUMMYFUNCTION("IFERROR(IF(A120="""",""ENTER STOCK"",
  LET(
    raw_high, GOOGLEFINANCE(""NSE:"" &amp; A120, ""high"", TODAY()-365, TODAY()),
    high_date, IFERROR(TO_DATE(QUERY(raw_high, ""SELECT Col1 WHERE Col2 IS NOT NULL ORDER BY Col2 DESC LIMIT 1 LABEL Col1 ''"", 1"&amp;")), TODAY()-30),
    raw_data, IFERROR(GOOGLEFINANCE(""NSE:"" &amp; A120, ""close"", high_date, TODAY()), GOOGLEFINANCE(""NSE:"" &amp; A120,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20" s="7"/>
    </row>
    <row r="121">
      <c r="A121" s="8" t="s">
        <v>132</v>
      </c>
      <c r="B121" s="9">
        <v>2.2463328307E9</v>
      </c>
      <c r="C121" s="9">
        <v>276.3</v>
      </c>
      <c r="D121" s="12">
        <f>IFERROR(__xludf.DUMMYFUNCTION("GOOGLEFINANCE(""NSE:""&amp;A121,""price"")"),276.4)</f>
        <v>276.4</v>
      </c>
      <c r="E121" s="13">
        <f>IFERROR(__xludf.DUMMYFUNCTION("IFERROR(AVERAGE(QUERY(SORT(GOOGLEFINANCE(""NSE:""&amp;A121,""price"",TODAY()-75,TODAY()),1,0),""select Col2 limit 50"")), """")"),263.8676000000001)</f>
        <v>263.8676</v>
      </c>
      <c r="F121" s="13">
        <f>IFERROR(__xludf.DUMMYFUNCTION("IFERROR(AVERAGE(QUERY(SORT(GOOGLEFINANCE(""NSE:""&amp;A121,""price"",TODAY()-150,TODAY()),1,0),""select Col2 limit 100"")), """")"),266.55980000000005)</f>
        <v>266.5598</v>
      </c>
      <c r="G121" s="13">
        <f>IFERROR(__xludf.DUMMYFUNCTION("IFERROR(AVERAGE(QUERY(SORT(GOOGLEFINANCE(""NSE:""&amp;A121,""price"",TODAY()-300,TODAY()),1,0),""select Col2 limit 200"")), """")"),313.85015000000004)</f>
        <v>313.85015</v>
      </c>
      <c r="H121" s="15" t="str">
        <f t="shared" si="1"/>
        <v>Unconfirmed</v>
      </c>
      <c r="I121" s="16">
        <f t="shared" si="2"/>
        <v>-11.9324939</v>
      </c>
      <c r="J121" s="7" t="str">
        <f>IFERROR(__xludf.DUMMYFUNCTION("IFERROR(IF(A121="""",""ENTER STOCK"",
  LET(
    raw_high, GOOGLEFINANCE(""NSE:"" &amp; A121, ""high"", TODAY()-365, TODAY()),
    high_date, IFERROR(TO_DATE(QUERY(raw_high, ""SELECT Col1 WHERE Col2 IS NOT NULL ORDER BY Col2 DESC LIMIT 1 LABEL Col1 ''"", 1"&amp;")), TODAY()-30),
    raw_data, IFERROR(GOOGLEFINANCE(""NSE:"" &amp; A121, ""close"", high_date, TODAY()), GOOGLEFINANCE(""NSE:"" &amp; A121,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21" s="7"/>
    </row>
    <row r="122">
      <c r="A122" s="8" t="s">
        <v>133</v>
      </c>
      <c r="B122" s="9">
        <v>2.2386953375E9</v>
      </c>
      <c r="C122" s="9">
        <v>5400.0</v>
      </c>
      <c r="D122" s="12">
        <f>IFERROR(__xludf.DUMMYFUNCTION("GOOGLEFINANCE(""NSE:""&amp;A122,""price"")"),5410.0)</f>
        <v>5410</v>
      </c>
      <c r="E122" s="13">
        <f>IFERROR(__xludf.DUMMYFUNCTION("IFERROR(AVERAGE(QUERY(SORT(GOOGLEFINANCE(""NSE:""&amp;A122,""price"",TODAY()-75,TODAY()),1,0),""select Col2 limit 50"")), """")"),5566.83)</f>
        <v>5566.83</v>
      </c>
      <c r="F122" s="13">
        <f>IFERROR(__xludf.DUMMYFUNCTION("IFERROR(AVERAGE(QUERY(SORT(GOOGLEFINANCE(""NSE:""&amp;A122,""price"",TODAY()-150,TODAY()),1,0),""select Col2 limit 100"")), """")"),5363.819000000001)</f>
        <v>5363.819</v>
      </c>
      <c r="G122" s="13">
        <f>IFERROR(__xludf.DUMMYFUNCTION("IFERROR(AVERAGE(QUERY(SORT(GOOGLEFINANCE(""NSE:""&amp;A122,""price"",TODAY()-300,TODAY()),1,0),""select Col2 limit 200"")), """")"),4885.558500000003)</f>
        <v>4885.5585</v>
      </c>
      <c r="H122" s="15" t="str">
        <f t="shared" si="1"/>
        <v>Unconfirmed</v>
      </c>
      <c r="I122" s="16">
        <f t="shared" si="2"/>
        <v>10.73452503</v>
      </c>
      <c r="J122" s="7" t="str">
        <f>IFERROR(__xludf.DUMMYFUNCTION("IFERROR(IF(A122="""",""ENTER STOCK"",
  LET(
    raw_high, GOOGLEFINANCE(""NSE:"" &amp; A122, ""high"", TODAY()-365, TODAY()),
    high_date, IFERROR(TO_DATE(QUERY(raw_high, ""SELECT Col1 WHERE Col2 IS NOT NULL ORDER BY Col2 DESC LIMIT 1 LABEL Col1 ''"", 1"&amp;")), TODAY()-30),
    raw_data, IFERROR(GOOGLEFINANCE(""NSE:"" &amp; A122, ""close"", high_date, TODAY()), GOOGLEFINANCE(""NSE:"" &amp; A122,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22" s="7"/>
    </row>
    <row r="123">
      <c r="A123" s="8" t="s">
        <v>134</v>
      </c>
      <c r="B123" s="9">
        <v>2.22117896205E9</v>
      </c>
      <c r="C123" s="9">
        <v>568.75</v>
      </c>
      <c r="D123" s="12">
        <f>IFERROR(__xludf.DUMMYFUNCTION("GOOGLEFINANCE(""NSE:""&amp;A123,""price"")"),570.85)</f>
        <v>570.85</v>
      </c>
      <c r="E123" s="13">
        <f>IFERROR(__xludf.DUMMYFUNCTION("IFERROR(AVERAGE(QUERY(SORT(GOOGLEFINANCE(""NSE:""&amp;A123,""price"",TODAY()-75,TODAY()),1,0),""select Col2 limit 50"")), """")"),456.78300000000013)</f>
        <v>456.783</v>
      </c>
      <c r="F123" s="13">
        <f>IFERROR(__xludf.DUMMYFUNCTION("IFERROR(AVERAGE(QUERY(SORT(GOOGLEFINANCE(""NSE:""&amp;A123,""price"",TODAY()-150,TODAY()),1,0),""select Col2 limit 100"")), """")"),449.5810000000001)</f>
        <v>449.581</v>
      </c>
      <c r="G123" s="13">
        <f>IFERROR(__xludf.DUMMYFUNCTION("IFERROR(AVERAGE(QUERY(SORT(GOOGLEFINANCE(""NSE:""&amp;A123,""price"",TODAY()-300,TODAY()),1,0),""select Col2 limit 200"")), """")"),453.12100000000015)</f>
        <v>453.121</v>
      </c>
      <c r="H123" s="15" t="str">
        <f t="shared" si="1"/>
        <v>Unconfirmed</v>
      </c>
      <c r="I123" s="16">
        <f t="shared" si="2"/>
        <v>25.98180177</v>
      </c>
      <c r="J123" s="7" t="str">
        <f>IFERROR(__xludf.DUMMYFUNCTION("IFERROR(IF(A123="""",""ENTER STOCK"",
  LET(
    raw_high, GOOGLEFINANCE(""NSE:"" &amp; A123, ""high"", TODAY()-365, TODAY()),
    high_date, IFERROR(TO_DATE(QUERY(raw_high, ""SELECT Col1 WHERE Col2 IS NOT NULL ORDER BY Col2 DESC LIMIT 1 LABEL Col1 ''"", 1"&amp;")), TODAY()-30),
    raw_data, IFERROR(GOOGLEFINANCE(""NSE:"" &amp; A123, ""close"", high_date, TODAY()), GOOGLEFINANCE(""NSE:"" &amp; A123,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23" s="7"/>
    </row>
    <row r="124">
      <c r="A124" s="8" t="s">
        <v>135</v>
      </c>
      <c r="B124" s="9">
        <v>2.20276405765E9</v>
      </c>
      <c r="C124" s="9">
        <v>376.0</v>
      </c>
      <c r="D124" s="12">
        <f>IFERROR(__xludf.DUMMYFUNCTION("GOOGLEFINANCE(""NSE:""&amp;A124,""price"")"),377.05)</f>
        <v>377.05</v>
      </c>
      <c r="E124" s="13">
        <f>IFERROR(__xludf.DUMMYFUNCTION("IFERROR(AVERAGE(QUERY(SORT(GOOGLEFINANCE(""NSE:""&amp;A124,""price"",TODAY()-75,TODAY()),1,0),""select Col2 limit 50"")), """")"),416.65899999999993)</f>
        <v>416.659</v>
      </c>
      <c r="F124" s="13">
        <f>IFERROR(__xludf.DUMMYFUNCTION("IFERROR(AVERAGE(QUERY(SORT(GOOGLEFINANCE(""NSE:""&amp;A124,""price"",TODAY()-150,TODAY()),1,0),""select Col2 limit 100"")), """")"),426.3465)</f>
        <v>426.3465</v>
      </c>
      <c r="G124" s="13">
        <f>IFERROR(__xludf.DUMMYFUNCTION("IFERROR(AVERAGE(QUERY(SORT(GOOGLEFINANCE(""NSE:""&amp;A124,""price"",TODAY()-300,TODAY()),1,0),""select Col2 limit 200"")), """")"),403.7849999999999)</f>
        <v>403.785</v>
      </c>
      <c r="H124" s="15" t="str">
        <f t="shared" si="1"/>
        <v>In Bear Run</v>
      </c>
      <c r="I124" s="16">
        <f t="shared" si="2"/>
        <v>-6.621097861</v>
      </c>
      <c r="J124" s="7" t="str">
        <f>IFERROR(__xludf.DUMMYFUNCTION("IFERROR(IF(A124="""",""ENTER STOCK"",
  LET(
    raw_high, GOOGLEFINANCE(""NSE:"" &amp; A124, ""high"", TODAY()-365, TODAY()),
    high_date, IFERROR(TO_DATE(QUERY(raw_high, ""SELECT Col1 WHERE Col2 IS NOT NULL ORDER BY Col2 DESC LIMIT 1 LABEL Col1 ''"", 1"&amp;")), TODAY()-30),
    raw_data, IFERROR(GOOGLEFINANCE(""NSE:"" &amp; A124, ""close"", high_date, TODAY()), GOOGLEFINANCE(""NSE:"" &amp; A124,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24" s="7"/>
    </row>
    <row r="125">
      <c r="A125" s="8" t="s">
        <v>136</v>
      </c>
      <c r="B125" s="9">
        <v>2.2010224764E9</v>
      </c>
      <c r="C125" s="9">
        <v>3088.7</v>
      </c>
      <c r="D125" s="12">
        <f>IFERROR(__xludf.DUMMYFUNCTION("GOOGLEFINANCE(""NSE:""&amp;A125,""price"")"),3052.0)</f>
        <v>3052</v>
      </c>
      <c r="E125" s="13">
        <f>IFERROR(__xludf.DUMMYFUNCTION("IFERROR(AVERAGE(QUERY(SORT(GOOGLEFINANCE(""NSE:""&amp;A125,""price"",TODAY()-75,TODAY()),1,0),""select Col2 limit 50"")), """")"),2578.084)</f>
        <v>2578.084</v>
      </c>
      <c r="F125" s="13">
        <f>IFERROR(__xludf.DUMMYFUNCTION("IFERROR(AVERAGE(QUERY(SORT(GOOGLEFINANCE(""NSE:""&amp;A125,""price"",TODAY()-150,TODAY()),1,0),""select Col2 limit 100"")), """")"),2507.092)</f>
        <v>2507.092</v>
      </c>
      <c r="G125" s="13">
        <f>IFERROR(__xludf.DUMMYFUNCTION("IFERROR(AVERAGE(QUERY(SORT(GOOGLEFINANCE(""NSE:""&amp;A125,""price"",TODAY()-300,TODAY()),1,0),""select Col2 limit 200"")), """")"),2386.060499999999)</f>
        <v>2386.0605</v>
      </c>
      <c r="H125" s="15" t="str">
        <f t="shared" si="1"/>
        <v>Unconfirmed</v>
      </c>
      <c r="I125" s="16">
        <f t="shared" si="2"/>
        <v>27.9095815</v>
      </c>
      <c r="J125" s="7" t="str">
        <f>IFERROR(__xludf.DUMMYFUNCTION("IFERROR(IF(A125="""",""ENTER STOCK"",
  LET(
    raw_high, GOOGLEFINANCE(""NSE:"" &amp; A125, ""high"", TODAY()-365, TODAY()),
    high_date, IFERROR(TO_DATE(QUERY(raw_high, ""SELECT Col1 WHERE Col2 IS NOT NULL ORDER BY Col2 DESC LIMIT 1 LABEL Col1 ''"", 1"&amp;")), TODAY()-30),
    raw_data, IFERROR(GOOGLEFINANCE(""NSE:"" &amp; A125, ""close"", high_date, TODAY()), GOOGLEFINANCE(""NSE:"" &amp; A125,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25" s="7"/>
    </row>
    <row r="126">
      <c r="A126" s="8" t="s">
        <v>137</v>
      </c>
      <c r="B126" s="9">
        <v>2.143255236E9</v>
      </c>
      <c r="C126" s="9">
        <v>393.55</v>
      </c>
      <c r="D126" s="12">
        <f>IFERROR(__xludf.DUMMYFUNCTION("GOOGLEFINANCE(""NSE:""&amp;A126,""price"")"),390.0)</f>
        <v>390</v>
      </c>
      <c r="E126" s="13">
        <f>IFERROR(__xludf.DUMMYFUNCTION("IFERROR(AVERAGE(QUERY(SORT(GOOGLEFINANCE(""NSE:""&amp;A126,""price"",TODAY()-75,TODAY()),1,0),""select Col2 limit 50"")), """")"),404.328)</f>
        <v>404.328</v>
      </c>
      <c r="F126" s="13">
        <f>IFERROR(__xludf.DUMMYFUNCTION("IFERROR(AVERAGE(QUERY(SORT(GOOGLEFINANCE(""NSE:""&amp;A126,""price"",TODAY()-150,TODAY()),1,0),""select Col2 limit 100"")), """")"),347.79999999999995)</f>
        <v>347.8</v>
      </c>
      <c r="G126" s="13">
        <f>IFERROR(__xludf.DUMMYFUNCTION("IFERROR(AVERAGE(QUERY(SORT(GOOGLEFINANCE(""NSE:""&amp;A126,""price"",TODAY()-300,TODAY()),1,0),""select Col2 limit 200"")), """")"),298.7868999999999)</f>
        <v>298.7869</v>
      </c>
      <c r="H126" s="15" t="str">
        <f t="shared" si="1"/>
        <v>Unconfirmed</v>
      </c>
      <c r="I126" s="16">
        <f t="shared" si="2"/>
        <v>30.52781096</v>
      </c>
      <c r="J126" s="7" t="str">
        <f>IFERROR(__xludf.DUMMYFUNCTION("IFERROR(IF(A126="""",""ENTER STOCK"",
  LET(
    raw_high, GOOGLEFINANCE(""NSE:"" &amp; A126, ""high"", TODAY()-365, TODAY()),
    high_date, IFERROR(TO_DATE(QUERY(raw_high, ""SELECT Col1 WHERE Col2 IS NOT NULL ORDER BY Col2 DESC LIMIT 1 LABEL Col1 ''"", 1"&amp;")), TODAY()-30),
    raw_data, IFERROR(GOOGLEFINANCE(""NSE:"" &amp; A126, ""close"", high_date, TODAY()), GOOGLEFINANCE(""NSE:"" &amp; A126,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26" s="7"/>
    </row>
    <row r="127">
      <c r="A127" s="8" t="s">
        <v>138</v>
      </c>
      <c r="B127" s="9">
        <v>2.1356412488E9</v>
      </c>
      <c r="C127" s="9">
        <v>335.25</v>
      </c>
      <c r="D127" s="12">
        <f>IFERROR(__xludf.DUMMYFUNCTION("GOOGLEFINANCE(""NSE:""&amp;A127,""price"")"),335.0)</f>
        <v>335</v>
      </c>
      <c r="E127" s="13">
        <f>IFERROR(__xludf.DUMMYFUNCTION("IFERROR(AVERAGE(QUERY(SORT(GOOGLEFINANCE(""NSE:""&amp;A127,""price"",TODAY()-75,TODAY()),1,0),""select Col2 limit 50"")), """")"),338.30499999999995)</f>
        <v>338.305</v>
      </c>
      <c r="F127" s="13">
        <f>IFERROR(__xludf.DUMMYFUNCTION("IFERROR(AVERAGE(QUERY(SORT(GOOGLEFINANCE(""NSE:""&amp;A127,""price"",TODAY()-150,TODAY()),1,0),""select Col2 limit 100"")), """")"),351.751)</f>
        <v>351.751</v>
      </c>
      <c r="G127" s="13">
        <f>IFERROR(__xludf.DUMMYFUNCTION("IFERROR(AVERAGE(QUERY(SORT(GOOGLEFINANCE(""NSE:""&amp;A127,""price"",TODAY()-300,TODAY()),1,0),""select Col2 limit 200"")), """")"),334.5394999999998)</f>
        <v>334.5395</v>
      </c>
      <c r="H127" s="15" t="str">
        <f t="shared" si="1"/>
        <v>Unconfirmed</v>
      </c>
      <c r="I127" s="16">
        <f t="shared" si="2"/>
        <v>0.1376519066</v>
      </c>
      <c r="J127" s="7" t="str">
        <f>IFERROR(__xludf.DUMMYFUNCTION("IFERROR(IF(A127="""",""ENTER STOCK"",
  LET(
    raw_high, GOOGLEFINANCE(""NSE:"" &amp; A127, ""high"", TODAY()-365, TODAY()),
    high_date, IFERROR(TO_DATE(QUERY(raw_high, ""SELECT Col1 WHERE Col2 IS NOT NULL ORDER BY Col2 DESC LIMIT 1 LABEL Col1 ''"", 1"&amp;")), TODAY()-30),
    raw_data, IFERROR(GOOGLEFINANCE(""NSE:"" &amp; A127, ""close"", high_date, TODAY()), GOOGLEFINANCE(""NSE:"" &amp; A127,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27" s="7"/>
    </row>
    <row r="128">
      <c r="A128" s="8" t="s">
        <v>139</v>
      </c>
      <c r="B128" s="9">
        <v>2.0901574559E9</v>
      </c>
      <c r="C128" s="9">
        <v>608.7</v>
      </c>
      <c r="D128" s="12">
        <f>IFERROR(__xludf.DUMMYFUNCTION("GOOGLEFINANCE(""NSE:""&amp;A128,""price"")"),602.7)</f>
        <v>602.7</v>
      </c>
      <c r="E128" s="13">
        <f>IFERROR(__xludf.DUMMYFUNCTION("IFERROR(AVERAGE(QUERY(SORT(GOOGLEFINANCE(""NSE:""&amp;A128,""price"",TODAY()-75,TODAY()),1,0),""select Col2 limit 50"")), """")"),562.5240000000001)</f>
        <v>562.524</v>
      </c>
      <c r="F128" s="13">
        <f>IFERROR(__xludf.DUMMYFUNCTION("IFERROR(AVERAGE(QUERY(SORT(GOOGLEFINANCE(""NSE:""&amp;A128,""price"",TODAY()-150,TODAY()),1,0),""select Col2 limit 100"")), """")"),472.084)</f>
        <v>472.084</v>
      </c>
      <c r="G128" s="13">
        <f>IFERROR(__xludf.DUMMYFUNCTION("IFERROR(AVERAGE(QUERY(SORT(GOOGLEFINANCE(""NSE:""&amp;A128,""price"",TODAY()-300,TODAY()),1,0),""select Col2 limit 200"")), """")"),446.0870503597122)</f>
        <v>446.0870504</v>
      </c>
      <c r="H128" s="15" t="str">
        <f t="shared" si="1"/>
        <v>Unconfirmed</v>
      </c>
      <c r="I128" s="16">
        <f t="shared" si="2"/>
        <v>35.10815871</v>
      </c>
      <c r="J128" s="7" t="str">
        <f>IFERROR(__xludf.DUMMYFUNCTION("IFERROR(IF(A128="""",""ENTER STOCK"",
  LET(
    raw_high, GOOGLEFINANCE(""NSE:"" &amp; A128, ""high"", TODAY()-365, TODAY()),
    high_date, IFERROR(TO_DATE(QUERY(raw_high, ""SELECT Col1 WHERE Col2 IS NOT NULL ORDER BY Col2 DESC LIMIT 1 LABEL Col1 ''"", 1"&amp;")), TODAY()-30),
    raw_data, IFERROR(GOOGLEFINANCE(""NSE:"" &amp; A128, ""close"", high_date, TODAY()), GOOGLEFINANCE(""NSE:"" &amp; A128,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28" s="7"/>
    </row>
    <row r="129">
      <c r="A129" s="8" t="s">
        <v>140</v>
      </c>
      <c r="B129" s="9">
        <v>2.0444270898E9</v>
      </c>
      <c r="C129" s="9">
        <v>845.25</v>
      </c>
      <c r="D129" s="12">
        <f>IFERROR(__xludf.DUMMYFUNCTION("GOOGLEFINANCE(""NSE:""&amp;A129,""price"")"),845.0)</f>
        <v>845</v>
      </c>
      <c r="E129" s="13">
        <f>IFERROR(__xludf.DUMMYFUNCTION("IFERROR(AVERAGE(QUERY(SORT(GOOGLEFINANCE(""NSE:""&amp;A129,""price"",TODAY()-75,TODAY()),1,0),""select Col2 limit 50"")), """")"),651.373)</f>
        <v>651.373</v>
      </c>
      <c r="F129" s="13">
        <f>IFERROR(__xludf.DUMMYFUNCTION("IFERROR(AVERAGE(QUERY(SORT(GOOGLEFINANCE(""NSE:""&amp;A129,""price"",TODAY()-150,TODAY()),1,0),""select Col2 limit 100"")), """")"),573.2594999999999)</f>
        <v>573.2595</v>
      </c>
      <c r="G129" s="13">
        <f>IFERROR(__xludf.DUMMYFUNCTION("IFERROR(AVERAGE(QUERY(SORT(GOOGLEFINANCE(""NSE:""&amp;A129,""price"",TODAY()-300,TODAY()),1,0),""select Col2 limit 200"")), """")"),544.0764999999999)</f>
        <v>544.0765</v>
      </c>
      <c r="H129" s="15" t="str">
        <f t="shared" si="1"/>
        <v>Unconfirmed</v>
      </c>
      <c r="I129" s="16">
        <f t="shared" si="2"/>
        <v>55.30904202</v>
      </c>
      <c r="J129" s="7" t="str">
        <f>IFERROR(__xludf.DUMMYFUNCTION("IFERROR(IF(A129="""",""ENTER STOCK"",
  LET(
    raw_high, GOOGLEFINANCE(""NSE:"" &amp; A129, ""high"", TODAY()-365, TODAY()),
    high_date, IFERROR(TO_DATE(QUERY(raw_high, ""SELECT Col1 WHERE Col2 IS NOT NULL ORDER BY Col2 DESC LIMIT 1 LABEL Col1 ''"", 1"&amp;")), TODAY()-30),
    raw_data, IFERROR(GOOGLEFINANCE(""NSE:"" &amp; A129, ""close"", high_date, TODAY()), GOOGLEFINANCE(""NSE:"" &amp; A129,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29" s="7"/>
    </row>
    <row r="130">
      <c r="A130" s="8" t="s">
        <v>141</v>
      </c>
      <c r="B130" s="9">
        <v>2.036625924E9</v>
      </c>
      <c r="C130" s="9">
        <v>407.1</v>
      </c>
      <c r="D130" s="12">
        <f>IFERROR(__xludf.DUMMYFUNCTION("GOOGLEFINANCE(""NSE:""&amp;A130,""price"")"),406.1)</f>
        <v>406.1</v>
      </c>
      <c r="E130" s="13">
        <f>IFERROR(__xludf.DUMMYFUNCTION("IFERROR(AVERAGE(QUERY(SORT(GOOGLEFINANCE(""NSE:""&amp;A130,""price"",TODAY()-75,TODAY()),1,0),""select Col2 limit 50"")), """")"),432.23)</f>
        <v>432.23</v>
      </c>
      <c r="F130" s="13">
        <f>IFERROR(__xludf.DUMMYFUNCTION("IFERROR(AVERAGE(QUERY(SORT(GOOGLEFINANCE(""NSE:""&amp;A130,""price"",TODAY()-150,TODAY()),1,0),""select Col2 limit 100"")), """")"),444.70200000000006)</f>
        <v>444.702</v>
      </c>
      <c r="G130" s="13">
        <f>IFERROR(__xludf.DUMMYFUNCTION("IFERROR(AVERAGE(QUERY(SORT(GOOGLEFINANCE(""NSE:""&amp;A130,""price"",TODAY()-300,TODAY()),1,0),""select Col2 limit 200"")), """")"),426.78375000000005)</f>
        <v>426.78375</v>
      </c>
      <c r="H130" s="15" t="str">
        <f t="shared" si="1"/>
        <v>In Bear Run</v>
      </c>
      <c r="I130" s="16">
        <f t="shared" si="2"/>
        <v>-4.846423979</v>
      </c>
      <c r="J130" s="7" t="str">
        <f>IFERROR(__xludf.DUMMYFUNCTION("IFERROR(IF(A130="""",""ENTER STOCK"",
  LET(
    raw_high, GOOGLEFINANCE(""NSE:"" &amp; A130, ""high"", TODAY()-365, TODAY()),
    high_date, IFERROR(TO_DATE(QUERY(raw_high, ""SELECT Col1 WHERE Col2 IS NOT NULL ORDER BY Col2 DESC LIMIT 1 LABEL Col1 ''"", 1"&amp;")), TODAY()-30),
    raw_data, IFERROR(GOOGLEFINANCE(""NSE:"" &amp; A130, ""close"", high_date, TODAY()), GOOGLEFINANCE(""NSE:"" &amp; A130,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30" s="7"/>
    </row>
    <row r="131">
      <c r="A131" s="8" t="s">
        <v>142</v>
      </c>
      <c r="B131" s="9">
        <v>2.0338262064E9</v>
      </c>
      <c r="C131" s="9">
        <v>278.2</v>
      </c>
      <c r="D131" s="12">
        <f>IFERROR(__xludf.DUMMYFUNCTION("GOOGLEFINANCE(""NSE:""&amp;A131,""price"")"),277.6)</f>
        <v>277.6</v>
      </c>
      <c r="E131" s="13">
        <f>IFERROR(__xludf.DUMMYFUNCTION("IFERROR(AVERAGE(QUERY(SORT(GOOGLEFINANCE(""NSE:""&amp;A131,""price"",TODAY()-75,TODAY()),1,0),""select Col2 limit 50"")), """")"),284.59)</f>
        <v>284.59</v>
      </c>
      <c r="F131" s="13">
        <f>IFERROR(__xludf.DUMMYFUNCTION("IFERROR(AVERAGE(QUERY(SORT(GOOGLEFINANCE(""NSE:""&amp;A131,""price"",TODAY()-150,TODAY()),1,0),""select Col2 limit 100"")), """")"),292.7035000000001)</f>
        <v>292.7035</v>
      </c>
      <c r="G131" s="13">
        <f>IFERROR(__xludf.DUMMYFUNCTION("IFERROR(AVERAGE(QUERY(SORT(GOOGLEFINANCE(""NSE:""&amp;A131,""price"",TODAY()-300,TODAY()),1,0),""select Col2 limit 200"")), """")"),328.22925000000004)</f>
        <v>328.22925</v>
      </c>
      <c r="H131" s="15" t="str">
        <f t="shared" si="1"/>
        <v>Unconfirmed</v>
      </c>
      <c r="I131" s="16">
        <f t="shared" si="2"/>
        <v>-15.42496593</v>
      </c>
      <c r="J131" s="7" t="str">
        <f>IFERROR(__xludf.DUMMYFUNCTION("IFERROR(IF(A131="""",""ENTER STOCK"",
  LET(
    raw_high, GOOGLEFINANCE(""NSE:"" &amp; A131, ""high"", TODAY()-365, TODAY()),
    high_date, IFERROR(TO_DATE(QUERY(raw_high, ""SELECT Col1 WHERE Col2 IS NOT NULL ORDER BY Col2 DESC LIMIT 1 LABEL Col1 ''"", 1"&amp;")), TODAY()-30),
    raw_data, IFERROR(GOOGLEFINANCE(""NSE:"" &amp; A131, ""close"", high_date, TODAY()), GOOGLEFINANCE(""NSE:"" &amp; A131,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31" s="7"/>
    </row>
    <row r="132">
      <c r="A132" s="8" t="s">
        <v>143</v>
      </c>
      <c r="B132" s="9">
        <v>2.0071812834E9</v>
      </c>
      <c r="C132" s="9">
        <v>4455.8</v>
      </c>
      <c r="D132" s="12">
        <f>IFERROR(__xludf.DUMMYFUNCTION("GOOGLEFINANCE(""NSE:""&amp;A132,""price"")"),4470.0)</f>
        <v>4470</v>
      </c>
      <c r="E132" s="13">
        <f>IFERROR(__xludf.DUMMYFUNCTION("IFERROR(AVERAGE(QUERY(SORT(GOOGLEFINANCE(""NSE:""&amp;A132,""price"",TODAY()-75,TODAY()),1,0),""select Col2 limit 50"")), """")"),4449.626)</f>
        <v>4449.626</v>
      </c>
      <c r="F132" s="13">
        <f>IFERROR(__xludf.DUMMYFUNCTION("IFERROR(AVERAGE(QUERY(SORT(GOOGLEFINANCE(""NSE:""&amp;A132,""price"",TODAY()-150,TODAY()),1,0),""select Col2 limit 100"")), """")"),4088.2169999999996)</f>
        <v>4088.217</v>
      </c>
      <c r="G132" s="13">
        <f>IFERROR(__xludf.DUMMYFUNCTION("IFERROR(AVERAGE(QUERY(SORT(GOOGLEFINANCE(""NSE:""&amp;A132,""price"",TODAY()-300,TODAY()),1,0),""select Col2 limit 200"")), """")"),3445.3909999999987)</f>
        <v>3445.391</v>
      </c>
      <c r="H132" s="15" t="str">
        <f t="shared" si="1"/>
        <v>Unconfirmed</v>
      </c>
      <c r="I132" s="16">
        <f t="shared" si="2"/>
        <v>29.73854056</v>
      </c>
      <c r="J132" s="7" t="str">
        <f>IFERROR(__xludf.DUMMYFUNCTION("IFERROR(IF(A132="""",""ENTER STOCK"",
  LET(
    raw_high, GOOGLEFINANCE(""NSE:"" &amp; A132, ""high"", TODAY()-365, TODAY()),
    high_date, IFERROR(TO_DATE(QUERY(raw_high, ""SELECT Col1 WHERE Col2 IS NOT NULL ORDER BY Col2 DESC LIMIT 1 LABEL Col1 ''"", 1"&amp;")), TODAY()-30),
    raw_data, IFERROR(GOOGLEFINANCE(""NSE:"" &amp; A132, ""close"", high_date, TODAY()), GOOGLEFINANCE(""NSE:"" &amp; A132,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32" s="7"/>
    </row>
    <row r="133">
      <c r="A133" s="8" t="s">
        <v>144</v>
      </c>
      <c r="B133" s="9">
        <v>1.958463427E9</v>
      </c>
      <c r="C133" s="9">
        <v>23320.0</v>
      </c>
      <c r="D133" s="12">
        <f>IFERROR(__xludf.DUMMYFUNCTION("GOOGLEFINANCE(""NSE:""&amp;A133,""price"")"),23330.0)</f>
        <v>23330</v>
      </c>
      <c r="E133" s="13">
        <f>IFERROR(__xludf.DUMMYFUNCTION("IFERROR(AVERAGE(QUERY(SORT(GOOGLEFINANCE(""NSE:""&amp;A133,""price"",TODAY()-75,TODAY()),1,0),""select Col2 limit 50"")), """")"),18977.94)</f>
        <v>18977.94</v>
      </c>
      <c r="F133" s="13">
        <f>IFERROR(__xludf.DUMMYFUNCTION("IFERROR(AVERAGE(QUERY(SORT(GOOGLEFINANCE(""NSE:""&amp;A133,""price"",TODAY()-150,TODAY()),1,0),""select Col2 limit 100"")), """")"),17085.63)</f>
        <v>17085.63</v>
      </c>
      <c r="G133" s="13">
        <f>IFERROR(__xludf.DUMMYFUNCTION("IFERROR(AVERAGE(QUERY(SORT(GOOGLEFINANCE(""NSE:""&amp;A133,""price"",TODAY()-300,TODAY()),1,0),""select Col2 limit 200"")), """")"),15980.4)</f>
        <v>15980.4</v>
      </c>
      <c r="H133" s="15" t="str">
        <f t="shared" si="1"/>
        <v>Unconfirmed</v>
      </c>
      <c r="I133" s="16">
        <f t="shared" si="2"/>
        <v>45.99133939</v>
      </c>
      <c r="J133" s="7" t="str">
        <f>IFERROR(__xludf.DUMMYFUNCTION("IFERROR(IF(A133="""",""ENTER STOCK"",
  LET(
    raw_high, GOOGLEFINANCE(""NSE:"" &amp; A133, ""high"", TODAY()-365, TODAY()),
    high_date, IFERROR(TO_DATE(QUERY(raw_high, ""SELECT Col1 WHERE Col2 IS NOT NULL ORDER BY Col2 DESC LIMIT 1 LABEL Col1 ''"", 1"&amp;")), TODAY()-30),
    raw_data, IFERROR(GOOGLEFINANCE(""NSE:"" &amp; A133, ""close"", high_date, TODAY()), GOOGLEFINANCE(""NSE:"" &amp; A133,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33" s="7"/>
    </row>
    <row r="134">
      <c r="A134" s="8" t="s">
        <v>145</v>
      </c>
      <c r="B134" s="9">
        <v>1.94605256386E9</v>
      </c>
      <c r="C134" s="9">
        <v>248.22</v>
      </c>
      <c r="D134" s="12">
        <f>IFERROR(__xludf.DUMMYFUNCTION("GOOGLEFINANCE(""NSE:""&amp;A134,""price"")"),248.27)</f>
        <v>248.27</v>
      </c>
      <c r="E134" s="13">
        <f>IFERROR(__xludf.DUMMYFUNCTION("IFERROR(AVERAGE(QUERY(SORT(GOOGLEFINANCE(""NSE:""&amp;A134,""price"",TODAY()-75,TODAY()),1,0),""select Col2 limit 50"")), """")"),257.23259999999993)</f>
        <v>257.2326</v>
      </c>
      <c r="F134" s="13">
        <f>IFERROR(__xludf.DUMMYFUNCTION("IFERROR(AVERAGE(QUERY(SORT(GOOGLEFINANCE(""NSE:""&amp;A134,""price"",TODAY()-150,TODAY()),1,0),""select Col2 limit 100"")), """")"),262.6075757575757)</f>
        <v>262.6075758</v>
      </c>
      <c r="G134" s="13">
        <f>IFERROR(__xludf.DUMMYFUNCTION("IFERROR(AVERAGE(QUERY(SORT(GOOGLEFINANCE(""NSE:""&amp;A134,""price"",TODAY()-300,TODAY()),1,0),""select Col2 limit 200"")), """")"),277.7967499999998)</f>
        <v>277.79675</v>
      </c>
      <c r="H134" s="15" t="str">
        <f t="shared" si="1"/>
        <v>Unconfirmed</v>
      </c>
      <c r="I134" s="16">
        <f t="shared" si="2"/>
        <v>-10.62890405</v>
      </c>
      <c r="J134" s="7" t="str">
        <f>IFERROR(__xludf.DUMMYFUNCTION("IFERROR(IF(A134="""",""ENTER STOCK"",
  LET(
    raw_high, GOOGLEFINANCE(""NSE:"" &amp; A134, ""high"", TODAY()-365, TODAY()),
    high_date, IFERROR(TO_DATE(QUERY(raw_high, ""SELECT Col1 WHERE Col2 IS NOT NULL ORDER BY Col2 DESC LIMIT 1 LABEL Col1 ''"", 1"&amp;")), TODAY()-30),
    raw_data, IFERROR(GOOGLEFINANCE(""NSE:"" &amp; A134, ""close"", high_date, TODAY()), GOOGLEFINANCE(""NSE:"" &amp; A134,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34" s="7"/>
    </row>
    <row r="135">
      <c r="A135" s="8" t="s">
        <v>146</v>
      </c>
      <c r="B135" s="9">
        <v>1.9447112844E9</v>
      </c>
      <c r="C135" s="9">
        <v>934.3</v>
      </c>
      <c r="D135" s="12">
        <f>IFERROR(__xludf.DUMMYFUNCTION("GOOGLEFINANCE(""NSE:""&amp;A135,""price"")"),937.0)</f>
        <v>937</v>
      </c>
      <c r="E135" s="13">
        <f>IFERROR(__xludf.DUMMYFUNCTION("IFERROR(AVERAGE(QUERY(SORT(GOOGLEFINANCE(""NSE:""&amp;A135,""price"",TODAY()-75,TODAY()),1,0),""select Col2 limit 50"")), """")"),1042.21)</f>
        <v>1042.21</v>
      </c>
      <c r="F135" s="13">
        <f>IFERROR(__xludf.DUMMYFUNCTION("IFERROR(AVERAGE(QUERY(SORT(GOOGLEFINANCE(""NSE:""&amp;A135,""price"",TODAY()-150,TODAY()),1,0),""select Col2 limit 100"")), """")"),1044.2055)</f>
        <v>1044.2055</v>
      </c>
      <c r="G135" s="13">
        <f>IFERROR(__xludf.DUMMYFUNCTION("IFERROR(AVERAGE(QUERY(SORT(GOOGLEFINANCE(""NSE:""&amp;A135,""price"",TODAY()-300,TODAY()),1,0),""select Col2 limit 200"")), """")"),1105.7212500000003)</f>
        <v>1105.72125</v>
      </c>
      <c r="H135" s="15" t="str">
        <f t="shared" si="1"/>
        <v>Unconfirmed</v>
      </c>
      <c r="I135" s="16">
        <f t="shared" si="2"/>
        <v>-15.25893167</v>
      </c>
      <c r="J135" s="7" t="str">
        <f>IFERROR(__xludf.DUMMYFUNCTION("IFERROR(IF(A135="""",""ENTER STOCK"",
  LET(
    raw_high, GOOGLEFINANCE(""NSE:"" &amp; A135, ""high"", TODAY()-365, TODAY()),
    high_date, IFERROR(TO_DATE(QUERY(raw_high, ""SELECT Col1 WHERE Col2 IS NOT NULL ORDER BY Col2 DESC LIMIT 1 LABEL Col1 ''"", 1"&amp;")), TODAY()-30),
    raw_data, IFERROR(GOOGLEFINANCE(""NSE:"" &amp; A135, ""close"", high_date, TODAY()), GOOGLEFINANCE(""NSE:"" &amp; A135,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35" s="7"/>
    </row>
    <row r="136">
      <c r="A136" s="8" t="s">
        <v>147</v>
      </c>
      <c r="B136" s="9">
        <v>1.9341160933E9</v>
      </c>
      <c r="C136" s="9">
        <v>2008.3</v>
      </c>
      <c r="D136" s="12">
        <f>IFERROR(__xludf.DUMMYFUNCTION("GOOGLEFINANCE(""NSE:""&amp;A136,""price"")"),2006.6)</f>
        <v>2006.6</v>
      </c>
      <c r="E136" s="13">
        <f>IFERROR(__xludf.DUMMYFUNCTION("IFERROR(AVERAGE(QUERY(SORT(GOOGLEFINANCE(""NSE:""&amp;A136,""price"",TODAY()-75,TODAY()),1,0),""select Col2 limit 50"")), """")"),1868.6400000000003)</f>
        <v>1868.64</v>
      </c>
      <c r="F136" s="13">
        <f>IFERROR(__xludf.DUMMYFUNCTION("IFERROR(AVERAGE(QUERY(SORT(GOOGLEFINANCE(""NSE:""&amp;A136,""price"",TODAY()-150,TODAY()),1,0),""select Col2 limit 100"")), """")"),1814.6790000000003)</f>
        <v>1814.679</v>
      </c>
      <c r="G136" s="13">
        <f>IFERROR(__xludf.DUMMYFUNCTION("IFERROR(AVERAGE(QUERY(SORT(GOOGLEFINANCE(""NSE:""&amp;A136,""price"",TODAY()-300,TODAY()),1,0),""select Col2 limit 200"")), """")"),1915.9080000000001)</f>
        <v>1915.908</v>
      </c>
      <c r="H136" s="15" t="str">
        <f t="shared" si="1"/>
        <v>In Bull Run</v>
      </c>
      <c r="I136" s="16">
        <f t="shared" si="2"/>
        <v>4.733630216</v>
      </c>
      <c r="J136" s="7" t="str">
        <f>IFERROR(__xludf.DUMMYFUNCTION("IFERROR(IF(A136="""",""ENTER STOCK"",
  LET(
    raw_high, GOOGLEFINANCE(""NSE:"" &amp; A136, ""high"", TODAY()-365, TODAY()),
    high_date, IFERROR(TO_DATE(QUERY(raw_high, ""SELECT Col1 WHERE Col2 IS NOT NULL ORDER BY Col2 DESC LIMIT 1 LABEL Col1 ''"", 1"&amp;")), TODAY()-30),
    raw_data, IFERROR(GOOGLEFINANCE(""NSE:"" &amp; A136, ""close"", high_date, TODAY()), GOOGLEFINANCE(""NSE:"" &amp; A136,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36" s="7"/>
    </row>
    <row r="137">
      <c r="A137" s="8" t="s">
        <v>148</v>
      </c>
      <c r="B137" s="9">
        <v>1.82984843405E9</v>
      </c>
      <c r="C137" s="9">
        <v>416.7</v>
      </c>
      <c r="D137" s="12">
        <f>IFERROR(__xludf.DUMMYFUNCTION("GOOGLEFINANCE(""NSE:""&amp;A137,""price"")"),415.0)</f>
        <v>415</v>
      </c>
      <c r="E137" s="13">
        <f>IFERROR(__xludf.DUMMYFUNCTION("IFERROR(AVERAGE(QUERY(SORT(GOOGLEFINANCE(""NSE:""&amp;A137,""price"",TODAY()-75,TODAY()),1,0),""select Col2 limit 50"")), """")"),419.88399999999984)</f>
        <v>419.884</v>
      </c>
      <c r="F137" s="13">
        <f>IFERROR(__xludf.DUMMYFUNCTION("IFERROR(AVERAGE(QUERY(SORT(GOOGLEFINANCE(""NSE:""&amp;A137,""price"",TODAY()-150,TODAY()),1,0),""select Col2 limit 100"")), """")"),395.475)</f>
        <v>395.475</v>
      </c>
      <c r="G137" s="13">
        <f>IFERROR(__xludf.DUMMYFUNCTION("IFERROR(AVERAGE(QUERY(SORT(GOOGLEFINANCE(""NSE:""&amp;A137,""price"",TODAY()-300,TODAY()),1,0),""select Col2 limit 200"")), """")"),370.5017499999999)</f>
        <v>370.50175</v>
      </c>
      <c r="H137" s="15" t="str">
        <f t="shared" si="1"/>
        <v>Unconfirmed</v>
      </c>
      <c r="I137" s="16">
        <f t="shared" si="2"/>
        <v>12.01026716</v>
      </c>
      <c r="J137" s="7" t="str">
        <f>IFERROR(__xludf.DUMMYFUNCTION("IFERROR(IF(A137="""",""ENTER STOCK"",
  LET(
    raw_high, GOOGLEFINANCE(""NSE:"" &amp; A137, ""high"", TODAY()-365, TODAY()),
    high_date, IFERROR(TO_DATE(QUERY(raw_high, ""SELECT Col1 WHERE Col2 IS NOT NULL ORDER BY Col2 DESC LIMIT 1 LABEL Col1 ''"", 1"&amp;")), TODAY()-30),
    raw_data, IFERROR(GOOGLEFINANCE(""NSE:"" &amp; A137, ""close"", high_date, TODAY()), GOOGLEFINANCE(""NSE:"" &amp; A137,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37" s="7"/>
    </row>
    <row r="138">
      <c r="A138" s="8" t="s">
        <v>149</v>
      </c>
      <c r="B138" s="9">
        <v>1.82443981648E9</v>
      </c>
      <c r="C138" s="9">
        <v>99.14</v>
      </c>
      <c r="D138" s="12">
        <f>IFERROR(__xludf.DUMMYFUNCTION("GOOGLEFINANCE(""NSE:""&amp;A138,""price"")"),98.1)</f>
        <v>98.1</v>
      </c>
      <c r="E138" s="13">
        <f>IFERROR(__xludf.DUMMYFUNCTION("IFERROR(AVERAGE(QUERY(SORT(GOOGLEFINANCE(""NSE:""&amp;A138,""price"",TODAY()-75,TODAY()),1,0),""select Col2 limit 50"")), """")"),84.60340000000002)</f>
        <v>84.6034</v>
      </c>
      <c r="F138" s="13">
        <f>IFERROR(__xludf.DUMMYFUNCTION("IFERROR(AVERAGE(QUERY(SORT(GOOGLEFINANCE(""NSE:""&amp;A138,""price"",TODAY()-150,TODAY()),1,0),""select Col2 limit 100"")), """")"),81.13879999999999)</f>
        <v>81.1388</v>
      </c>
      <c r="G138" s="13">
        <f>IFERROR(__xludf.DUMMYFUNCTION("IFERROR(AVERAGE(QUERY(SORT(GOOGLEFINANCE(""NSE:""&amp;A138,""price"",TODAY()-300,TODAY()),1,0),""select Col2 limit 200"")), """")"),78.18424999999998)</f>
        <v>78.18425</v>
      </c>
      <c r="H138" s="15" t="str">
        <f t="shared" si="1"/>
        <v>Unconfirmed</v>
      </c>
      <c r="I138" s="16">
        <f t="shared" si="2"/>
        <v>25.4728414</v>
      </c>
      <c r="J138" s="7" t="str">
        <f>IFERROR(__xludf.DUMMYFUNCTION("IFERROR(IF(A138="""",""ENTER STOCK"",
  LET(
    raw_high, GOOGLEFINANCE(""NSE:"" &amp; A138, ""high"", TODAY()-365, TODAY()),
    high_date, IFERROR(TO_DATE(QUERY(raw_high, ""SELECT Col1 WHERE Col2 IS NOT NULL ORDER BY Col2 DESC LIMIT 1 LABEL Col1 ''"", 1"&amp;")), TODAY()-30),
    raw_data, IFERROR(GOOGLEFINANCE(""NSE:"" &amp; A138, ""close"", high_date, TODAY()), GOOGLEFINANCE(""NSE:"" &amp; A138,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38" s="7"/>
    </row>
    <row r="139">
      <c r="A139" s="8" t="s">
        <v>150</v>
      </c>
      <c r="B139" s="9">
        <v>1.8089868293E9</v>
      </c>
      <c r="C139" s="9">
        <v>2696.3</v>
      </c>
      <c r="D139" s="12">
        <f>IFERROR(__xludf.DUMMYFUNCTION("GOOGLEFINANCE(""NSE:""&amp;A139,""price"")"),2705.0)</f>
        <v>2705</v>
      </c>
      <c r="E139" s="13">
        <f>IFERROR(__xludf.DUMMYFUNCTION("IFERROR(AVERAGE(QUERY(SORT(GOOGLEFINANCE(""NSE:""&amp;A139,""price"",TODAY()-75,TODAY()),1,0),""select Col2 limit 50"")), """")"),2709.688)</f>
        <v>2709.688</v>
      </c>
      <c r="F139" s="13">
        <f>IFERROR(__xludf.DUMMYFUNCTION("IFERROR(AVERAGE(QUERY(SORT(GOOGLEFINANCE(""NSE:""&amp;A139,""price"",TODAY()-150,TODAY()),1,0),""select Col2 limit 100"")), """")"),2584.363)</f>
        <v>2584.363</v>
      </c>
      <c r="G139" s="13">
        <f>IFERROR(__xludf.DUMMYFUNCTION("IFERROR(AVERAGE(QUERY(SORT(GOOGLEFINANCE(""NSE:""&amp;A139,""price"",TODAY()-300,TODAY()),1,0),""select Col2 limit 200"")), """")"),2603.7745000000004)</f>
        <v>2603.7745</v>
      </c>
      <c r="H139" s="15" t="str">
        <f t="shared" si="1"/>
        <v>Unconfirmed</v>
      </c>
      <c r="I139" s="16">
        <f t="shared" si="2"/>
        <v>3.887644648</v>
      </c>
      <c r="J139" s="7" t="str">
        <f>IFERROR(__xludf.DUMMYFUNCTION("IFERROR(IF(A139="""",""ENTER STOCK"",
  LET(
    raw_high, GOOGLEFINANCE(""NSE:"" &amp; A139, ""high"", TODAY()-365, TODAY()),
    high_date, IFERROR(TO_DATE(QUERY(raw_high, ""SELECT Col1 WHERE Col2 IS NOT NULL ORDER BY Col2 DESC LIMIT 1 LABEL Col1 ''"", 1"&amp;")), TODAY()-30),
    raw_data, IFERROR(GOOGLEFINANCE(""NSE:"" &amp; A139, ""close"", high_date, TODAY()), GOOGLEFINANCE(""NSE:"" &amp; A139,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39" s="7"/>
    </row>
    <row r="140">
      <c r="A140" s="8" t="s">
        <v>151</v>
      </c>
      <c r="B140" s="9">
        <v>1.80567356161E9</v>
      </c>
      <c r="C140" s="9">
        <v>243.68</v>
      </c>
      <c r="D140" s="12">
        <f>IFERROR(__xludf.DUMMYFUNCTION("GOOGLEFINANCE(""NSE:""&amp;A140,""price"")"),243.3)</f>
        <v>243.3</v>
      </c>
      <c r="E140" s="13">
        <f>IFERROR(__xludf.DUMMYFUNCTION("IFERROR(AVERAGE(QUERY(SORT(GOOGLEFINANCE(""NSE:""&amp;A140,""price"",TODAY()-75,TODAY()),1,0),""select Col2 limit 50"")), """")"),236.70680000000004)</f>
        <v>236.7068</v>
      </c>
      <c r="F140" s="13">
        <f>IFERROR(__xludf.DUMMYFUNCTION("IFERROR(AVERAGE(QUERY(SORT(GOOGLEFINANCE(""NSE:""&amp;A140,""price"",TODAY()-150,TODAY()),1,0),""select Col2 limit 100"")), """")"),232.73390000000003)</f>
        <v>232.7339</v>
      </c>
      <c r="G140" s="13">
        <f>IFERROR(__xludf.DUMMYFUNCTION("IFERROR(AVERAGE(QUERY(SORT(GOOGLEFINANCE(""NSE:""&amp;A140,""price"",TODAY()-300,TODAY()),1,0),""select Col2 limit 200"")), """")"),214.50654999999995)</f>
        <v>214.50655</v>
      </c>
      <c r="H140" s="15" t="str">
        <f t="shared" si="1"/>
        <v>Unconfirmed</v>
      </c>
      <c r="I140" s="16">
        <f t="shared" si="2"/>
        <v>13.42310992</v>
      </c>
      <c r="J140" s="7" t="str">
        <f>IFERROR(__xludf.DUMMYFUNCTION("IFERROR(IF(A140="""",""ENTER STOCK"",
  LET(
    raw_high, GOOGLEFINANCE(""NSE:"" &amp; A140, ""high"", TODAY()-365, TODAY()),
    high_date, IFERROR(TO_DATE(QUERY(raw_high, ""SELECT Col1 WHERE Col2 IS NOT NULL ORDER BY Col2 DESC LIMIT 1 LABEL Col1 ''"", 1"&amp;")), TODAY()-30),
    raw_data, IFERROR(GOOGLEFINANCE(""NSE:"" &amp; A140, ""close"", high_date, TODAY()), GOOGLEFINANCE(""NSE:"" &amp; A140,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40" s="7"/>
    </row>
    <row r="141">
      <c r="A141" s="8" t="s">
        <v>152</v>
      </c>
      <c r="B141" s="9">
        <v>1.8037386854E9</v>
      </c>
      <c r="C141" s="9">
        <v>266.05</v>
      </c>
      <c r="D141" s="12">
        <f>IFERROR(__xludf.DUMMYFUNCTION("GOOGLEFINANCE(""NSE:""&amp;A141,""price"")"),266.65)</f>
        <v>266.65</v>
      </c>
      <c r="E141" s="13">
        <f>IFERROR(__xludf.DUMMYFUNCTION("IFERROR(AVERAGE(QUERY(SORT(GOOGLEFINANCE(""NSE:""&amp;A141,""price"",TODAY()-75,TODAY()),1,0),""select Col2 limit 50"")), """")"),283.72900000000004)</f>
        <v>283.729</v>
      </c>
      <c r="F141" s="13">
        <f>IFERROR(__xludf.DUMMYFUNCTION("IFERROR(AVERAGE(QUERY(SORT(GOOGLEFINANCE(""NSE:""&amp;A141,""price"",TODAY()-150,TODAY()),1,0),""select Col2 limit 100"")), """")"),293.6749999999999)</f>
        <v>293.675</v>
      </c>
      <c r="G141" s="13">
        <f>IFERROR(__xludf.DUMMYFUNCTION("IFERROR(AVERAGE(QUERY(SORT(GOOGLEFINANCE(""NSE:""&amp;A141,""price"",TODAY()-300,TODAY()),1,0),""select Col2 limit 200"")), """")"),285.526)</f>
        <v>285.526</v>
      </c>
      <c r="H141" s="15" t="str">
        <f t="shared" si="1"/>
        <v>In Bear Run</v>
      </c>
      <c r="I141" s="16">
        <f t="shared" si="2"/>
        <v>-6.61095662</v>
      </c>
      <c r="J141" s="7" t="str">
        <f>IFERROR(__xludf.DUMMYFUNCTION("IFERROR(IF(A141="""",""ENTER STOCK"",
  LET(
    raw_high, GOOGLEFINANCE(""NSE:"" &amp; A141, ""high"", TODAY()-365, TODAY()),
    high_date, IFERROR(TO_DATE(QUERY(raw_high, ""SELECT Col1 WHERE Col2 IS NOT NULL ORDER BY Col2 DESC LIMIT 1 LABEL Col1 ''"", 1"&amp;")), TODAY()-30),
    raw_data, IFERROR(GOOGLEFINANCE(""NSE:"" &amp; A141, ""close"", high_date, TODAY()), GOOGLEFINANCE(""NSE:"" &amp; A141,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41" s="7"/>
    </row>
    <row r="142">
      <c r="A142" s="8" t="s">
        <v>153</v>
      </c>
      <c r="B142" s="9">
        <v>1.76753718749E9</v>
      </c>
      <c r="C142" s="9">
        <v>168.3</v>
      </c>
      <c r="D142" s="12">
        <f>IFERROR(__xludf.DUMMYFUNCTION("GOOGLEFINANCE(""NSE:""&amp;A142,""price"")"),169.0)</f>
        <v>169</v>
      </c>
      <c r="E142" s="13">
        <f>IFERROR(__xludf.DUMMYFUNCTION("IFERROR(AVERAGE(QUERY(SORT(GOOGLEFINANCE(""NSE:""&amp;A142,""price"",TODAY()-75,TODAY()),1,0),""select Col2 limit 50"")), """")"),148.62060000000002)</f>
        <v>148.6206</v>
      </c>
      <c r="F142" s="13">
        <f>IFERROR(__xludf.DUMMYFUNCTION("IFERROR(AVERAGE(QUERY(SORT(GOOGLEFINANCE(""NSE:""&amp;A142,""price"",TODAY()-150,TODAY()),1,0),""select Col2 limit 100"")), """")"),136.7794)</f>
        <v>136.7794</v>
      </c>
      <c r="G142" s="13">
        <f>IFERROR(__xludf.DUMMYFUNCTION("IFERROR(AVERAGE(QUERY(SORT(GOOGLEFINANCE(""NSE:""&amp;A142,""price"",TODAY()-300,TODAY()),1,0),""select Col2 limit 200"")), """")"),127.07095000000001)</f>
        <v>127.07095</v>
      </c>
      <c r="H142" s="15" t="str">
        <f t="shared" si="1"/>
        <v>Unconfirmed</v>
      </c>
      <c r="I142" s="16">
        <f t="shared" si="2"/>
        <v>32.99656609</v>
      </c>
      <c r="J142" s="7" t="str">
        <f>IFERROR(__xludf.DUMMYFUNCTION("IFERROR(IF(A142="""",""ENTER STOCK"",
  LET(
    raw_high, GOOGLEFINANCE(""NSE:"" &amp; A142, ""high"", TODAY()-365, TODAY()),
    high_date, IFERROR(TO_DATE(QUERY(raw_high, ""SELECT Col1 WHERE Col2 IS NOT NULL ORDER BY Col2 DESC LIMIT 1 LABEL Col1 ''"", 1"&amp;")), TODAY()-30),
    raw_data, IFERROR(GOOGLEFINANCE(""NSE:"" &amp; A142, ""close"", high_date, TODAY()), GOOGLEFINANCE(""NSE:"" &amp; A142,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42" s="7"/>
    </row>
    <row r="143">
      <c r="A143" s="8" t="s">
        <v>154</v>
      </c>
      <c r="B143" s="9">
        <v>1.6939755876E9</v>
      </c>
      <c r="C143" s="9">
        <v>1930.0</v>
      </c>
      <c r="D143" s="12">
        <f>IFERROR(__xludf.DUMMYFUNCTION("GOOGLEFINANCE(""NSE:""&amp;A143,""price"")"),1917.0)</f>
        <v>1917</v>
      </c>
      <c r="E143" s="13">
        <f>IFERROR(__xludf.DUMMYFUNCTION("IFERROR(AVERAGE(QUERY(SORT(GOOGLEFINANCE(""NSE:""&amp;A143,""price"",TODAY()-75,TODAY()),1,0),""select Col2 limit 50"")), """")"),1901.9379999999996)</f>
        <v>1901.938</v>
      </c>
      <c r="F143" s="13">
        <f>IFERROR(__xludf.DUMMYFUNCTION("IFERROR(AVERAGE(QUERY(SORT(GOOGLEFINANCE(""NSE:""&amp;A143,""price"",TODAY()-150,TODAY()),1,0),""select Col2 limit 100"")), """")"),1838.3250000000003)</f>
        <v>1838.325</v>
      </c>
      <c r="G143" s="13">
        <f>IFERROR(__xludf.DUMMYFUNCTION("IFERROR(AVERAGE(QUERY(SORT(GOOGLEFINANCE(""NSE:""&amp;A143,""price"",TODAY()-300,TODAY()),1,0),""select Col2 limit 200"")), """")"),1787.2705000000008)</f>
        <v>1787.2705</v>
      </c>
      <c r="H143" s="15" t="str">
        <f t="shared" si="1"/>
        <v>In Bull Run</v>
      </c>
      <c r="I143" s="16">
        <f t="shared" si="2"/>
        <v>7.258526339</v>
      </c>
      <c r="J143" s="7" t="str">
        <f>IFERROR(__xludf.DUMMYFUNCTION("IFERROR(IF(A143="""",""ENTER STOCK"",
  LET(
    raw_high, GOOGLEFINANCE(""NSE:"" &amp; A143, ""high"", TODAY()-365, TODAY()),
    high_date, IFERROR(TO_DATE(QUERY(raw_high, ""SELECT Col1 WHERE Col2 IS NOT NULL ORDER BY Col2 DESC LIMIT 1 LABEL Col1 ''"", 1"&amp;")), TODAY()-30),
    raw_data, IFERROR(GOOGLEFINANCE(""NSE:"" &amp; A143, ""close"", high_date, TODAY()), GOOGLEFINANCE(""NSE:"" &amp; A143,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43" s="7"/>
    </row>
    <row r="144">
      <c r="A144" s="8" t="s">
        <v>155</v>
      </c>
      <c r="B144" s="9">
        <v>1.686025689E9</v>
      </c>
      <c r="C144" s="9">
        <v>2717.8</v>
      </c>
      <c r="D144" s="12">
        <f>IFERROR(__xludf.DUMMYFUNCTION("GOOGLEFINANCE(""NSE:""&amp;A144,""price"")"),2722.8)</f>
        <v>2722.8</v>
      </c>
      <c r="E144" s="13">
        <f>IFERROR(__xludf.DUMMYFUNCTION("IFERROR(AVERAGE(QUERY(SORT(GOOGLEFINANCE(""NSE:""&amp;A144,""price"",TODAY()-75,TODAY()),1,0),""select Col2 limit 50"")), """")"),2284.522)</f>
        <v>2284.522</v>
      </c>
      <c r="F144" s="13">
        <f>IFERROR(__xludf.DUMMYFUNCTION("IFERROR(AVERAGE(QUERY(SORT(GOOGLEFINANCE(""NSE:""&amp;A144,""price"",TODAY()-150,TODAY()),1,0),""select Col2 limit 100"")), """")"),2098.7300000000005)</f>
        <v>2098.73</v>
      </c>
      <c r="G144" s="13">
        <f>IFERROR(__xludf.DUMMYFUNCTION("IFERROR(AVERAGE(QUERY(SORT(GOOGLEFINANCE(""NSE:""&amp;A144,""price"",TODAY()-300,TODAY()),1,0),""select Col2 limit 200"")), """")"),1854.738000000001)</f>
        <v>1854.738</v>
      </c>
      <c r="H144" s="15" t="str">
        <f t="shared" si="1"/>
        <v>Unconfirmed</v>
      </c>
      <c r="I144" s="16">
        <f t="shared" si="2"/>
        <v>46.80240551</v>
      </c>
      <c r="J144" s="7" t="str">
        <f>IFERROR(__xludf.DUMMYFUNCTION("IFERROR(IF(A144="""",""ENTER STOCK"",
  LET(
    raw_high, GOOGLEFINANCE(""NSE:"" &amp; A144, ""high"", TODAY()-365, TODAY()),
    high_date, IFERROR(TO_DATE(QUERY(raw_high, ""SELECT Col1 WHERE Col2 IS NOT NULL ORDER BY Col2 DESC LIMIT 1 LABEL Col1 ''"", 1"&amp;")), TODAY()-30),
    raw_data, IFERROR(GOOGLEFINANCE(""NSE:"" &amp; A144, ""close"", high_date, TODAY()), GOOGLEFINANCE(""NSE:"" &amp; A144,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44" s="7"/>
    </row>
    <row r="145">
      <c r="A145" s="8" t="s">
        <v>156</v>
      </c>
      <c r="B145" s="9">
        <v>1.6649419492E9</v>
      </c>
      <c r="C145" s="9">
        <v>1166.4</v>
      </c>
      <c r="D145" s="12">
        <f>IFERROR(__xludf.DUMMYFUNCTION("GOOGLEFINANCE(""NSE:""&amp;A145,""price"")"),1176.0)</f>
        <v>1176</v>
      </c>
      <c r="E145" s="13">
        <f>IFERROR(__xludf.DUMMYFUNCTION("IFERROR(AVERAGE(QUERY(SORT(GOOGLEFINANCE(""NSE:""&amp;A145,""price"",TODAY()-75,TODAY()),1,0),""select Col2 limit 50"")), """")"),1082.0520000000004)</f>
        <v>1082.052</v>
      </c>
      <c r="F145" s="13">
        <f>IFERROR(__xludf.DUMMYFUNCTION("IFERROR(AVERAGE(QUERY(SORT(GOOGLEFINANCE(""NSE:""&amp;A145,""price"",TODAY()-150,TODAY()),1,0),""select Col2 limit 100"")), """")"),1021.2865000000005)</f>
        <v>1021.2865</v>
      </c>
      <c r="G145" s="13">
        <f>IFERROR(__xludf.DUMMYFUNCTION("IFERROR(AVERAGE(QUERY(SORT(GOOGLEFINANCE(""NSE:""&amp;A145,""price"",TODAY()-300,TODAY()),1,0),""select Col2 limit 200"")), """")"),978.4072500000007)</f>
        <v>978.40725</v>
      </c>
      <c r="H145" s="15" t="str">
        <f t="shared" si="1"/>
        <v>Unconfirmed</v>
      </c>
      <c r="I145" s="16">
        <f t="shared" si="2"/>
        <v>20.1953481</v>
      </c>
      <c r="J145" s="7" t="str">
        <f>IFERROR(__xludf.DUMMYFUNCTION("IFERROR(IF(A145="""",""ENTER STOCK"",
  LET(
    raw_high, GOOGLEFINANCE(""NSE:"" &amp; A145, ""high"", TODAY()-365, TODAY()),
    high_date, IFERROR(TO_DATE(QUERY(raw_high, ""SELECT Col1 WHERE Col2 IS NOT NULL ORDER BY Col2 DESC LIMIT 1 LABEL Col1 ''"", 1"&amp;")), TODAY()-30),
    raw_data, IFERROR(GOOGLEFINANCE(""NSE:"" &amp; A145, ""close"", high_date, TODAY()), GOOGLEFINANCE(""NSE:"" &amp; A145,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45" s="7"/>
    </row>
    <row r="146">
      <c r="A146" s="8" t="s">
        <v>157</v>
      </c>
      <c r="B146" s="9">
        <v>1.6635090817E9</v>
      </c>
      <c r="C146" s="9">
        <v>2065.0</v>
      </c>
      <c r="D146" s="12">
        <f>IFERROR(__xludf.DUMMYFUNCTION("GOOGLEFINANCE(""NSE:""&amp;A146,""price"")"),2064.0)</f>
        <v>2064</v>
      </c>
      <c r="E146" s="13">
        <f>IFERROR(__xludf.DUMMYFUNCTION("IFERROR(AVERAGE(QUERY(SORT(GOOGLEFINANCE(""NSE:""&amp;A146,""price"",TODAY()-75,TODAY()),1,0),""select Col2 limit 50"")), """")"),2109.3419999999996)</f>
        <v>2109.342</v>
      </c>
      <c r="F146" s="13">
        <f>IFERROR(__xludf.DUMMYFUNCTION("IFERROR(AVERAGE(QUERY(SORT(GOOGLEFINANCE(""NSE:""&amp;A146,""price"",TODAY()-150,TODAY()),1,0),""select Col2 limit 100"")), """")"),1978.4069999999992)</f>
        <v>1978.407</v>
      </c>
      <c r="G146" s="13">
        <f>IFERROR(__xludf.DUMMYFUNCTION("IFERROR(AVERAGE(QUERY(SORT(GOOGLEFINANCE(""NSE:""&amp;A146,""price"",TODAY()-300,TODAY()),1,0),""select Col2 limit 200"")), """")"),1747.9905)</f>
        <v>1747.9905</v>
      </c>
      <c r="H146" s="15" t="str">
        <f t="shared" si="1"/>
        <v>Unconfirmed</v>
      </c>
      <c r="I146" s="16">
        <f t="shared" si="2"/>
        <v>18.07844493</v>
      </c>
      <c r="J146" s="7" t="str">
        <f>IFERROR(__xludf.DUMMYFUNCTION("IFERROR(IF(A146="""",""ENTER STOCK"",
  LET(
    raw_high, GOOGLEFINANCE(""NSE:"" &amp; A146, ""high"", TODAY()-365, TODAY()),
    high_date, IFERROR(TO_DATE(QUERY(raw_high, ""SELECT Col1 WHERE Col2 IS NOT NULL ORDER BY Col2 DESC LIMIT 1 LABEL Col1 ''"", 1"&amp;")), TODAY()-30),
    raw_data, IFERROR(GOOGLEFINANCE(""NSE:"" &amp; A146, ""close"", high_date, TODAY()), GOOGLEFINANCE(""NSE:"" &amp; A146,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46" s="7"/>
    </row>
    <row r="147">
      <c r="A147" s="8" t="s">
        <v>158</v>
      </c>
      <c r="B147" s="9">
        <v>1.6633229056E9</v>
      </c>
      <c r="C147" s="9">
        <v>417.0</v>
      </c>
      <c r="D147" s="12">
        <f>IFERROR(__xludf.DUMMYFUNCTION("GOOGLEFINANCE(""NSE:""&amp;A147,""price"")"),414.85)</f>
        <v>414.85</v>
      </c>
      <c r="E147" s="13">
        <f>IFERROR(__xludf.DUMMYFUNCTION("IFERROR(AVERAGE(QUERY(SORT(GOOGLEFINANCE(""NSE:""&amp;A147,""price"",TODAY()-75,TODAY()),1,0),""select Col2 limit 50"")), """")"),422.77099999999984)</f>
        <v>422.771</v>
      </c>
      <c r="F147" s="13">
        <f>IFERROR(__xludf.DUMMYFUNCTION("IFERROR(AVERAGE(QUERY(SORT(GOOGLEFINANCE(""NSE:""&amp;A147,""price"",TODAY()-150,TODAY()),1,0),""select Col2 limit 100"")), """")"),403.06800000000004)</f>
        <v>403.068</v>
      </c>
      <c r="G147" s="13">
        <f>IFERROR(__xludf.DUMMYFUNCTION("IFERROR(AVERAGE(QUERY(SORT(GOOGLEFINANCE(""NSE:""&amp;A147,""price"",TODAY()-300,TODAY()),1,0),""select Col2 limit 200"")), """")"),393.9695)</f>
        <v>393.9695</v>
      </c>
      <c r="H147" s="15" t="str">
        <f t="shared" si="1"/>
        <v>Unconfirmed</v>
      </c>
      <c r="I147" s="16">
        <f t="shared" si="2"/>
        <v>5.300029571</v>
      </c>
      <c r="J147" s="7" t="str">
        <f>IFERROR(__xludf.DUMMYFUNCTION("IFERROR(IF(A147="""",""ENTER STOCK"",
  LET(
    raw_high, GOOGLEFINANCE(""NSE:"" &amp; A147, ""high"", TODAY()-365, TODAY()),
    high_date, IFERROR(TO_DATE(QUERY(raw_high, ""SELECT Col1 WHERE Col2 IS NOT NULL ORDER BY Col2 DESC LIMIT 1 LABEL Col1 ''"", 1"&amp;")), TODAY()-30),
    raw_data, IFERROR(GOOGLEFINANCE(""NSE:"" &amp; A147, ""close"", high_date, TODAY()), GOOGLEFINANCE(""NSE:"" &amp; A147,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47" s="7"/>
    </row>
    <row r="148">
      <c r="A148" s="8" t="s">
        <v>159</v>
      </c>
      <c r="B148" s="9">
        <v>1.6232766441E9</v>
      </c>
      <c r="C148" s="9">
        <v>386.4</v>
      </c>
      <c r="D148" s="12">
        <f>IFERROR(__xludf.DUMMYFUNCTION("GOOGLEFINANCE(""NSE:""&amp;A148,""price"")"),385.8)</f>
        <v>385.8</v>
      </c>
      <c r="E148" s="13">
        <f>IFERROR(__xludf.DUMMYFUNCTION("IFERROR(AVERAGE(QUERY(SORT(GOOGLEFINANCE(""NSE:""&amp;A148,""price"",TODAY()-75,TODAY()),1,0),""select Col2 limit 50"")), """")"),366.50300000000004)</f>
        <v>366.503</v>
      </c>
      <c r="F148" s="13">
        <f>IFERROR(__xludf.DUMMYFUNCTION("IFERROR(AVERAGE(QUERY(SORT(GOOGLEFINANCE(""NSE:""&amp;A148,""price"",TODAY()-150,TODAY()),1,0),""select Col2 limit 100"")), """")"),353.6179999999999)</f>
        <v>353.618</v>
      </c>
      <c r="G148" s="13">
        <f>IFERROR(__xludf.DUMMYFUNCTION("IFERROR(AVERAGE(QUERY(SORT(GOOGLEFINANCE(""NSE:""&amp;A148,""price"",TODAY()-300,TODAY()),1,0),""select Col2 limit 200"")), """")"),361.97925)</f>
        <v>361.97925</v>
      </c>
      <c r="H148" s="15" t="str">
        <f t="shared" si="1"/>
        <v>In Bull Run</v>
      </c>
      <c r="I148" s="16">
        <f t="shared" si="2"/>
        <v>6.580694888</v>
      </c>
      <c r="J148" s="7" t="str">
        <f>IFERROR(__xludf.DUMMYFUNCTION("IFERROR(IF(A148="""",""ENTER STOCK"",
  LET(
    raw_high, GOOGLEFINANCE(""NSE:"" &amp; A148, ""high"", TODAY()-365, TODAY()),
    high_date, IFERROR(TO_DATE(QUERY(raw_high, ""SELECT Col1 WHERE Col2 IS NOT NULL ORDER BY Col2 DESC LIMIT 1 LABEL Col1 ''"", 1"&amp;")), TODAY()-30),
    raw_data, IFERROR(GOOGLEFINANCE(""NSE:"" &amp; A148, ""close"", high_date, TODAY()), GOOGLEFINANCE(""NSE:"" &amp; A148,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48" s="7"/>
    </row>
    <row r="149">
      <c r="A149" s="8" t="s">
        <v>160</v>
      </c>
      <c r="B149" s="9">
        <v>1.60240260375E9</v>
      </c>
      <c r="C149" s="9">
        <v>755.7</v>
      </c>
      <c r="D149" s="12">
        <f>IFERROR(__xludf.DUMMYFUNCTION("GOOGLEFINANCE(""NSE:""&amp;A149,""price"")"),756.0)</f>
        <v>756</v>
      </c>
      <c r="E149" s="13">
        <f>IFERROR(__xludf.DUMMYFUNCTION("IFERROR(AVERAGE(QUERY(SORT(GOOGLEFINANCE(""NSE:""&amp;A149,""price"",TODAY()-75,TODAY()),1,0),""select Col2 limit 50"")), """")"),698.1099999999999)</f>
        <v>698.11</v>
      </c>
      <c r="F149" s="13">
        <f>IFERROR(__xludf.DUMMYFUNCTION("IFERROR(AVERAGE(QUERY(SORT(GOOGLEFINANCE(""NSE:""&amp;A149,""price"",TODAY()-150,TODAY()),1,0),""select Col2 limit 100"")), """")"),697.64)</f>
        <v>697.64</v>
      </c>
      <c r="G149" s="13">
        <f>IFERROR(__xludf.DUMMYFUNCTION("IFERROR(AVERAGE(QUERY(SORT(GOOGLEFINANCE(""NSE:""&amp;A149,""price"",TODAY()-300,TODAY()),1,0),""select Col2 limit 200"")), """")"),808.12)</f>
        <v>808.12</v>
      </c>
      <c r="H149" s="15" t="str">
        <f t="shared" si="1"/>
        <v>Unconfirmed</v>
      </c>
      <c r="I149" s="16">
        <f t="shared" si="2"/>
        <v>-6.449537197</v>
      </c>
      <c r="J149" s="7" t="str">
        <f>IFERROR(__xludf.DUMMYFUNCTION("IFERROR(IF(A149="""",""ENTER STOCK"",
  LET(
    raw_high, GOOGLEFINANCE(""NSE:"" &amp; A149, ""high"", TODAY()-365, TODAY()),
    high_date, IFERROR(TO_DATE(QUERY(raw_high, ""SELECT Col1 WHERE Col2 IS NOT NULL ORDER BY Col2 DESC LIMIT 1 LABEL Col1 ''"", 1"&amp;")), TODAY()-30),
    raw_data, IFERROR(GOOGLEFINANCE(""NSE:"" &amp; A149, ""close"", high_date, TODAY()), GOOGLEFINANCE(""NSE:"" &amp; A149,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49" s="7"/>
    </row>
    <row r="150">
      <c r="A150" s="8" t="s">
        <v>161</v>
      </c>
      <c r="B150" s="9">
        <v>1.59826456435E9</v>
      </c>
      <c r="C150" s="9">
        <v>1246.85</v>
      </c>
      <c r="D150" s="12">
        <f>IFERROR(__xludf.DUMMYFUNCTION("GOOGLEFINANCE(""NSE:""&amp;A150,""price"")"),1251.95)</f>
        <v>1251.95</v>
      </c>
      <c r="E150" s="13">
        <f>IFERROR(__xludf.DUMMYFUNCTION("IFERROR(AVERAGE(QUERY(SORT(GOOGLEFINANCE(""NSE:""&amp;A150,""price"",TODAY()-75,TODAY()),1,0),""select Col2 limit 50"")), """")"),1070.089)</f>
        <v>1070.089</v>
      </c>
      <c r="F150" s="13">
        <f>IFERROR(__xludf.DUMMYFUNCTION("IFERROR(AVERAGE(QUERY(SORT(GOOGLEFINANCE(""NSE:""&amp;A150,""price"",TODAY()-150,TODAY()),1,0),""select Col2 limit 100"")), """")"),1018.5489999999996)</f>
        <v>1018.549</v>
      </c>
      <c r="G150" s="13">
        <f>IFERROR(__xludf.DUMMYFUNCTION("IFERROR(AVERAGE(QUERY(SORT(GOOGLEFINANCE(""NSE:""&amp;A150,""price"",TODAY()-300,TODAY()),1,0),""select Col2 limit 200"")), """")"),902.5977499999997)</f>
        <v>902.59775</v>
      </c>
      <c r="H150" s="15" t="str">
        <f t="shared" si="1"/>
        <v>Unconfirmed</v>
      </c>
      <c r="I150" s="16">
        <f t="shared" si="2"/>
        <v>38.70519841</v>
      </c>
      <c r="J150" s="7" t="str">
        <f>IFERROR(__xludf.DUMMYFUNCTION("IFERROR(IF(A150="""",""ENTER STOCK"",
  LET(
    raw_high, GOOGLEFINANCE(""NSE:"" &amp; A150, ""high"", TODAY()-365, TODAY()),
    high_date, IFERROR(TO_DATE(QUERY(raw_high, ""SELECT Col1 WHERE Col2 IS NOT NULL ORDER BY Col2 DESC LIMIT 1 LABEL Col1 ''"", 1"&amp;")), TODAY()-30),
    raw_data, IFERROR(GOOGLEFINANCE(""NSE:"" &amp; A150, ""close"", high_date, TODAY()), GOOGLEFINANCE(""NSE:"" &amp; A150,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50" s="7"/>
    </row>
    <row r="151">
      <c r="A151" s="8" t="s">
        <v>162</v>
      </c>
      <c r="B151" s="9">
        <v>1.5818017211E9</v>
      </c>
      <c r="C151" s="9">
        <v>2508.4</v>
      </c>
      <c r="D151" s="12">
        <f>IFERROR(__xludf.DUMMYFUNCTION("GOOGLEFINANCE(""NSE:""&amp;A151,""price"")"),2508.4)</f>
        <v>2508.4</v>
      </c>
      <c r="E151" s="13">
        <f>IFERROR(__xludf.DUMMYFUNCTION("IFERROR(AVERAGE(QUERY(SORT(GOOGLEFINANCE(""NSE:""&amp;A151,""price"",TODAY()-75,TODAY()),1,0),""select Col2 limit 50"")), """")"),1948.7160000000003)</f>
        <v>1948.716</v>
      </c>
      <c r="F151" s="13">
        <f>IFERROR(__xludf.DUMMYFUNCTION("IFERROR(AVERAGE(QUERY(SORT(GOOGLEFINANCE(""NSE:""&amp;A151,""price"",TODAY()-150,TODAY()),1,0),""select Col2 limit 100"")), """")"),1864.2850000000003)</f>
        <v>1864.285</v>
      </c>
      <c r="G151" s="13">
        <f>IFERROR(__xludf.DUMMYFUNCTION("IFERROR(AVERAGE(QUERY(SORT(GOOGLEFINANCE(""NSE:""&amp;A151,""price"",TODAY()-300,TODAY()),1,0),""select Col2 limit 200"")), """")"),1930.753)</f>
        <v>1930.753</v>
      </c>
      <c r="H151" s="15" t="str">
        <f t="shared" si="1"/>
        <v>Unconfirmed</v>
      </c>
      <c r="I151" s="16">
        <f t="shared" si="2"/>
        <v>29.91822362</v>
      </c>
      <c r="J151" s="7" t="str">
        <f>IFERROR(__xludf.DUMMYFUNCTION("IFERROR(IF(A151="""",""ENTER STOCK"",
  LET(
    raw_high, GOOGLEFINANCE(""NSE:"" &amp; A151, ""high"", TODAY()-365, TODAY()),
    high_date, IFERROR(TO_DATE(QUERY(raw_high, ""SELECT Col1 WHERE Col2 IS NOT NULL ORDER BY Col2 DESC LIMIT 1 LABEL Col1 ''"", 1"&amp;")), TODAY()-30),
    raw_data, IFERROR(GOOGLEFINANCE(""NSE:"" &amp; A151, ""close"", high_date, TODAY()), GOOGLEFINANCE(""NSE:"" &amp; A151,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51" s="7"/>
    </row>
    <row r="152">
      <c r="A152" s="8" t="s">
        <v>163</v>
      </c>
      <c r="B152" s="9">
        <v>1.576804185E9</v>
      </c>
      <c r="C152" s="9">
        <v>47100.0</v>
      </c>
      <c r="D152" s="12">
        <f>IFERROR(__xludf.DUMMYFUNCTION("GOOGLEFINANCE(""NSE:""&amp;A152,""price"")"),47250.0)</f>
        <v>47250</v>
      </c>
      <c r="E152" s="13">
        <f>IFERROR(__xludf.DUMMYFUNCTION("IFERROR(AVERAGE(QUERY(SORT(GOOGLEFINANCE(""NSE:""&amp;A152,""price"",TODAY()-75,TODAY()),1,0),""select Col2 limit 50"")), """")"),41164.9)</f>
        <v>41164.9</v>
      </c>
      <c r="F152" s="13">
        <f>IFERROR(__xludf.DUMMYFUNCTION("IFERROR(AVERAGE(QUERY(SORT(GOOGLEFINANCE(""NSE:""&amp;A152,""price"",TODAY()-150,TODAY()),1,0),""select Col2 limit 100"")), """")"),38349.25)</f>
        <v>38349.25</v>
      </c>
      <c r="G152" s="13">
        <f>IFERROR(__xludf.DUMMYFUNCTION("IFERROR(AVERAGE(QUERY(SORT(GOOGLEFINANCE(""NSE:""&amp;A152,""price"",TODAY()-300,TODAY()),1,0),""select Col2 limit 200"")), """")"),37235.825)</f>
        <v>37235.825</v>
      </c>
      <c r="H152" s="15" t="str">
        <f t="shared" si="1"/>
        <v>Unconfirmed</v>
      </c>
      <c r="I152" s="16">
        <f t="shared" si="2"/>
        <v>26.89392541</v>
      </c>
      <c r="J152" s="7" t="str">
        <f>IFERROR(__xludf.DUMMYFUNCTION("IFERROR(IF(A152="""",""ENTER STOCK"",
  LET(
    raw_high, GOOGLEFINANCE(""NSE:"" &amp; A152, ""high"", TODAY()-365, TODAY()),
    high_date, IFERROR(TO_DATE(QUERY(raw_high, ""SELECT Col1 WHERE Col2 IS NOT NULL ORDER BY Col2 DESC LIMIT 1 LABEL Col1 ''"", 1"&amp;")), TODAY()-30),
    raw_data, IFERROR(GOOGLEFINANCE(""NSE:"" &amp; A152, ""close"", high_date, TODAY()), GOOGLEFINANCE(""NSE:"" &amp; A152,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52" s="7"/>
    </row>
    <row r="153">
      <c r="A153" s="8" t="s">
        <v>164</v>
      </c>
      <c r="B153" s="9">
        <v>1.56101315165E9</v>
      </c>
      <c r="C153" s="9">
        <v>84.4</v>
      </c>
      <c r="D153" s="12">
        <f>IFERROR(__xludf.DUMMYFUNCTION("GOOGLEFINANCE(""NSE:""&amp;A153,""price"")"),84.0)</f>
        <v>84</v>
      </c>
      <c r="E153" s="13">
        <f>IFERROR(__xludf.DUMMYFUNCTION("IFERROR(AVERAGE(QUERY(SORT(GOOGLEFINANCE(""NSE:""&amp;A153,""price"",TODAY()-75,TODAY()),1,0),""select Col2 limit 50"")), """")"),85.74959999999999)</f>
        <v>85.7496</v>
      </c>
      <c r="F153" s="13">
        <f>IFERROR(__xludf.DUMMYFUNCTION("IFERROR(AVERAGE(QUERY(SORT(GOOGLEFINANCE(""NSE:""&amp;A153,""price"",TODAY()-150,TODAY()),1,0),""select Col2 limit 100"")), """")"),86.34470000000002)</f>
        <v>86.3447</v>
      </c>
      <c r="G153" s="13">
        <f>IFERROR(__xludf.DUMMYFUNCTION("IFERROR(AVERAGE(QUERY(SORT(GOOGLEFINANCE(""NSE:""&amp;A153,""price"",TODAY()-300,TODAY()),1,0),""select Col2 limit 200"")), """")"),82.61854999999997)</f>
        <v>82.61855</v>
      </c>
      <c r="H153" s="15" t="str">
        <f t="shared" si="1"/>
        <v>Unconfirmed</v>
      </c>
      <c r="I153" s="16">
        <f t="shared" si="2"/>
        <v>1.672082117</v>
      </c>
      <c r="J153" s="7" t="str">
        <f>IFERROR(__xludf.DUMMYFUNCTION("IFERROR(IF(A153="""",""ENTER STOCK"",
  LET(
    raw_high, GOOGLEFINANCE(""NSE:"" &amp; A153, ""high"", TODAY()-365, TODAY()),
    high_date, IFERROR(TO_DATE(QUERY(raw_high, ""SELECT Col1 WHERE Col2 IS NOT NULL ORDER BY Col2 DESC LIMIT 1 LABEL Col1 ''"", 1"&amp;")), TODAY()-30),
    raw_data, IFERROR(GOOGLEFINANCE(""NSE:"" &amp; A153, ""close"", high_date, TODAY()), GOOGLEFINANCE(""NSE:"" &amp; A153,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53" s="7"/>
    </row>
    <row r="154">
      <c r="A154" s="8" t="s">
        <v>165</v>
      </c>
      <c r="B154" s="9">
        <v>1.5429837348E9</v>
      </c>
      <c r="C154" s="9">
        <v>3248.7</v>
      </c>
      <c r="D154" s="12">
        <f>IFERROR(__xludf.DUMMYFUNCTION("GOOGLEFINANCE(""NSE:""&amp;A154,""price"")"),3232.8)</f>
        <v>3232.8</v>
      </c>
      <c r="E154" s="13">
        <f>IFERROR(__xludf.DUMMYFUNCTION("IFERROR(AVERAGE(QUERY(SORT(GOOGLEFINANCE(""NSE:""&amp;A154,""price"",TODAY()-75,TODAY()),1,0),""select Col2 limit 50"")), """")"),3157.704)</f>
        <v>3157.704</v>
      </c>
      <c r="F154" s="13">
        <f>IFERROR(__xludf.DUMMYFUNCTION("IFERROR(AVERAGE(QUERY(SORT(GOOGLEFINANCE(""NSE:""&amp;A154,""price"",TODAY()-150,TODAY()),1,0),""select Col2 limit 100"")), """")"),2999.6600000000008)</f>
        <v>2999.66</v>
      </c>
      <c r="G154" s="13">
        <f>IFERROR(__xludf.DUMMYFUNCTION("IFERROR(AVERAGE(QUERY(SORT(GOOGLEFINANCE(""NSE:""&amp;A154,""price"",TODAY()-300,TODAY()),1,0),""select Col2 limit 200"")), """")"),2900.748500000001)</f>
        <v>2900.7485</v>
      </c>
      <c r="H154" s="15" t="str">
        <f t="shared" si="1"/>
        <v>Unconfirmed</v>
      </c>
      <c r="I154" s="16">
        <f t="shared" si="2"/>
        <v>11.44709719</v>
      </c>
      <c r="J154" s="7" t="str">
        <f>IFERROR(__xludf.DUMMYFUNCTION("IFERROR(IF(A154="""",""ENTER STOCK"",
  LET(
    raw_high, GOOGLEFINANCE(""NSE:"" &amp; A154, ""high"", TODAY()-365, TODAY()),
    high_date, IFERROR(TO_DATE(QUERY(raw_high, ""SELECT Col1 WHERE Col2 IS NOT NULL ORDER BY Col2 DESC LIMIT 1 LABEL Col1 ''"", 1"&amp;")), TODAY()-30),
    raw_data, IFERROR(GOOGLEFINANCE(""NSE:"" &amp; A154, ""close"", high_date, TODAY()), GOOGLEFINANCE(""NSE:"" &amp; A154,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54" s="7"/>
    </row>
    <row r="155">
      <c r="A155" s="8" t="s">
        <v>166</v>
      </c>
      <c r="B155" s="9">
        <v>1.54121365464E9</v>
      </c>
      <c r="C155" s="9">
        <v>143.76</v>
      </c>
      <c r="D155" s="12">
        <f>IFERROR(__xludf.DUMMYFUNCTION("GOOGLEFINANCE(""NSE:""&amp;A155,""price"")"),144.0)</f>
        <v>144</v>
      </c>
      <c r="E155" s="13">
        <f>IFERROR(__xludf.DUMMYFUNCTION("IFERROR(AVERAGE(QUERY(SORT(GOOGLEFINANCE(""NSE:""&amp;A155,""price"",TODAY()-75,TODAY()),1,0),""select Col2 limit 50"")), """")"),116.74719999999999)</f>
        <v>116.7472</v>
      </c>
      <c r="F155" s="13">
        <f>IFERROR(__xludf.DUMMYFUNCTION("IFERROR(AVERAGE(QUERY(SORT(GOOGLEFINANCE(""NSE:""&amp;A155,""price"",TODAY()-150,TODAY()),1,0),""select Col2 limit 100"")), """")"),113.9385)</f>
        <v>113.9385</v>
      </c>
      <c r="G155" s="13">
        <f>IFERROR(__xludf.DUMMYFUNCTION("IFERROR(AVERAGE(QUERY(SORT(GOOGLEFINANCE(""NSE:""&amp;A155,""price"",TODAY()-300,TODAY()),1,0),""select Col2 limit 200"")), """")"),124.49095000000008)</f>
        <v>124.49095</v>
      </c>
      <c r="H155" s="15" t="str">
        <f t="shared" si="1"/>
        <v>Unconfirmed</v>
      </c>
      <c r="I155" s="16">
        <f t="shared" si="2"/>
        <v>15.67105882</v>
      </c>
      <c r="J155" s="7" t="str">
        <f>IFERROR(__xludf.DUMMYFUNCTION("IFERROR(IF(A155="""",""ENTER STOCK"",
  LET(
    raw_high, GOOGLEFINANCE(""NSE:"" &amp; A155, ""high"", TODAY()-365, TODAY()),
    high_date, IFERROR(TO_DATE(QUERY(raw_high, ""SELECT Col1 WHERE Col2 IS NOT NULL ORDER BY Col2 DESC LIMIT 1 LABEL Col1 ''"", 1"&amp;")), TODAY()-30),
    raw_data, IFERROR(GOOGLEFINANCE(""NSE:"" &amp; A155, ""close"", high_date, TODAY()), GOOGLEFINANCE(""NSE:"" &amp; A155,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55" s="7"/>
    </row>
    <row r="156">
      <c r="A156" s="8" t="s">
        <v>167</v>
      </c>
      <c r="B156" s="9">
        <v>1.5403753286E9</v>
      </c>
      <c r="C156" s="9">
        <v>1496.5</v>
      </c>
      <c r="D156" s="12">
        <f>IFERROR(__xludf.DUMMYFUNCTION("GOOGLEFINANCE(""NSE:""&amp;A156,""price"")"),1492.0)</f>
        <v>1492</v>
      </c>
      <c r="E156" s="13">
        <f>IFERROR(__xludf.DUMMYFUNCTION("IFERROR(AVERAGE(QUERY(SORT(GOOGLEFINANCE(""NSE:""&amp;A156,""price"",TODAY()-75,TODAY()),1,0),""select Col2 limit 50"")), """")"),1443.2780000000002)</f>
        <v>1443.278</v>
      </c>
      <c r="F156" s="13">
        <f>IFERROR(__xludf.DUMMYFUNCTION("IFERROR(AVERAGE(QUERY(SORT(GOOGLEFINANCE(""NSE:""&amp;A156,""price"",TODAY()-150,TODAY()),1,0),""select Col2 limit 100"")), """")"),1480.567)</f>
        <v>1480.567</v>
      </c>
      <c r="G156" s="13">
        <f>IFERROR(__xludf.DUMMYFUNCTION("IFERROR(AVERAGE(QUERY(SORT(GOOGLEFINANCE(""NSE:""&amp;A156,""price"",TODAY()-300,TODAY()),1,0),""select Col2 limit 200"")), """")"),1535.9129999999998)</f>
        <v>1535.913</v>
      </c>
      <c r="H156" s="15" t="str">
        <f t="shared" si="1"/>
        <v>Unconfirmed</v>
      </c>
      <c r="I156" s="16">
        <f t="shared" si="2"/>
        <v>-2.859081211</v>
      </c>
      <c r="J156" s="7" t="str">
        <f>IFERROR(__xludf.DUMMYFUNCTION("IFERROR(IF(A156="""",""ENTER STOCK"",
  LET(
    raw_high, GOOGLEFINANCE(""NSE:"" &amp; A156, ""high"", TODAY()-365, TODAY()),
    high_date, IFERROR(TO_DATE(QUERY(raw_high, ""SELECT Col1 WHERE Col2 IS NOT NULL ORDER BY Col2 DESC LIMIT 1 LABEL Col1 ''"", 1"&amp;")), TODAY()-30),
    raw_data, IFERROR(GOOGLEFINANCE(""NSE:"" &amp; A156, ""close"", high_date, TODAY()), GOOGLEFINANCE(""NSE:"" &amp; A156,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56" s="7"/>
    </row>
    <row r="157">
      <c r="A157" s="8" t="s">
        <v>168</v>
      </c>
      <c r="B157" s="9">
        <v>1.4753940455E9</v>
      </c>
      <c r="C157" s="9">
        <v>2733.5</v>
      </c>
      <c r="D157" s="12">
        <f>IFERROR(__xludf.DUMMYFUNCTION("GOOGLEFINANCE(""NSE:""&amp;A157,""price"")"),2742.0)</f>
        <v>2742</v>
      </c>
      <c r="E157" s="13">
        <f>IFERROR(__xludf.DUMMYFUNCTION("IFERROR(AVERAGE(QUERY(SORT(GOOGLEFINANCE(""NSE:""&amp;A157,""price"",TODAY()-75,TODAY()),1,0),""select Col2 limit 50"")), """")"),2961.96)</f>
        <v>2961.96</v>
      </c>
      <c r="F157" s="13">
        <f>IFERROR(__xludf.DUMMYFUNCTION("IFERROR(AVERAGE(QUERY(SORT(GOOGLEFINANCE(""NSE:""&amp;A157,""price"",TODAY()-150,TODAY()),1,0),""select Col2 limit 100"")), """")"),2910.8089999999997)</f>
        <v>2910.809</v>
      </c>
      <c r="G157" s="13">
        <f>IFERROR(__xludf.DUMMYFUNCTION("IFERROR(AVERAGE(QUERY(SORT(GOOGLEFINANCE(""NSE:""&amp;A157,""price"",TODAY()-300,TODAY()),1,0),""select Col2 limit 200"")), """")"),2784.7595000000006)</f>
        <v>2784.7595</v>
      </c>
      <c r="H157" s="15" t="str">
        <f t="shared" si="1"/>
        <v>In Bear Run</v>
      </c>
      <c r="I157" s="16">
        <f t="shared" si="2"/>
        <v>-1.535482687</v>
      </c>
      <c r="J157" s="7" t="str">
        <f>IFERROR(__xludf.DUMMYFUNCTION("IFERROR(IF(A157="""",""ENTER STOCK"",
  LET(
    raw_high, GOOGLEFINANCE(""NSE:"" &amp; A157, ""high"", TODAY()-365, TODAY()),
    high_date, IFERROR(TO_DATE(QUERY(raw_high, ""SELECT Col1 WHERE Col2 IS NOT NULL ORDER BY Col2 DESC LIMIT 1 LABEL Col1 ''"", 1"&amp;")), TODAY()-30),
    raw_data, IFERROR(GOOGLEFINANCE(""NSE:"" &amp; A157, ""close"", high_date, TODAY()), GOOGLEFINANCE(""NSE:"" &amp; A157,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57" s="7"/>
    </row>
    <row r="158">
      <c r="A158" s="8" t="s">
        <v>169</v>
      </c>
      <c r="B158" s="9">
        <v>1.4657332305E9</v>
      </c>
      <c r="C158" s="9">
        <v>2842.0</v>
      </c>
      <c r="D158" s="12">
        <f>IFERROR(__xludf.DUMMYFUNCTION("GOOGLEFINANCE(""NSE:""&amp;A158,""price"")"),2845.4)</f>
        <v>2845.4</v>
      </c>
      <c r="E158" s="13">
        <f>IFERROR(__xludf.DUMMYFUNCTION("IFERROR(AVERAGE(QUERY(SORT(GOOGLEFINANCE(""NSE:""&amp;A158,""price"",TODAY()-75,TODAY()),1,0),""select Col2 limit 50"")), """")"),3018.76)</f>
        <v>3018.76</v>
      </c>
      <c r="F158" s="13">
        <f>IFERROR(__xludf.DUMMYFUNCTION("IFERROR(AVERAGE(QUERY(SORT(GOOGLEFINANCE(""NSE:""&amp;A158,""price"",TODAY()-150,TODAY()),1,0),""select Col2 limit 100"")), """")"),3204.9510000000005)</f>
        <v>3204.951</v>
      </c>
      <c r="G158" s="13">
        <f>IFERROR(__xludf.DUMMYFUNCTION("IFERROR(AVERAGE(QUERY(SORT(GOOGLEFINANCE(""NSE:""&amp;A158,""price"",TODAY()-300,TODAY()),1,0),""select Col2 limit 200"")), """")"),3414.1189999999997)</f>
        <v>3414.119</v>
      </c>
      <c r="H158" s="15" t="str">
        <f t="shared" si="1"/>
        <v>Unconfirmed</v>
      </c>
      <c r="I158" s="16">
        <f t="shared" si="2"/>
        <v>-16.65785522</v>
      </c>
      <c r="J158" s="7" t="str">
        <f>IFERROR(__xludf.DUMMYFUNCTION("IFERROR(IF(A158="""",""ENTER STOCK"",
  LET(
    raw_high, GOOGLEFINANCE(""NSE:"" &amp; A158, ""high"", TODAY()-365, TODAY()),
    high_date, IFERROR(TO_DATE(QUERY(raw_high, ""SELECT Col1 WHERE Col2 IS NOT NULL ORDER BY Col2 DESC LIMIT 1 LABEL Col1 ''"", 1"&amp;")), TODAY()-30),
    raw_data, IFERROR(GOOGLEFINANCE(""NSE:"" &amp; A158, ""close"", high_date, TODAY()), GOOGLEFINANCE(""NSE:"" &amp; A158,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58" s="7"/>
    </row>
    <row r="159">
      <c r="A159" s="8" t="s">
        <v>170</v>
      </c>
      <c r="B159" s="9">
        <v>1.4616748388E9</v>
      </c>
      <c r="C159" s="9">
        <v>2318.4</v>
      </c>
      <c r="D159" s="12">
        <f>IFERROR(__xludf.DUMMYFUNCTION("GOOGLEFINANCE(""NSE:""&amp;A159,""price"")"),2320.0)</f>
        <v>2320</v>
      </c>
      <c r="E159" s="13">
        <f>IFERROR(__xludf.DUMMYFUNCTION("IFERROR(AVERAGE(QUERY(SORT(GOOGLEFINANCE(""NSE:""&amp;A159,""price"",TODAY()-75,TODAY()),1,0),""select Col2 limit 50"")), """")"),2221.966)</f>
        <v>2221.966</v>
      </c>
      <c r="F159" s="13">
        <f>IFERROR(__xludf.DUMMYFUNCTION("IFERROR(AVERAGE(QUERY(SORT(GOOGLEFINANCE(""NSE:""&amp;A159,""price"",TODAY()-150,TODAY()),1,0),""select Col2 limit 100"")), """")"),2241.2790000000005)</f>
        <v>2241.279</v>
      </c>
      <c r="G159" s="13">
        <f>IFERROR(__xludf.DUMMYFUNCTION("IFERROR(AVERAGE(QUERY(SORT(GOOGLEFINANCE(""NSE:""&amp;A159,""price"",TODAY()-300,TODAY()),1,0),""select Col2 limit 200"")), """")"),2113.1679999999997)</f>
        <v>2113.168</v>
      </c>
      <c r="H159" s="15" t="str">
        <f t="shared" si="1"/>
        <v>In Bull Run</v>
      </c>
      <c r="I159" s="16">
        <f t="shared" si="2"/>
        <v>9.787768885</v>
      </c>
      <c r="J159" s="7" t="str">
        <f>IFERROR(__xludf.DUMMYFUNCTION("IFERROR(IF(A159="""",""ENTER STOCK"",
  LET(
    raw_high, GOOGLEFINANCE(""NSE:"" &amp; A159, ""high"", TODAY()-365, TODAY()),
    high_date, IFERROR(TO_DATE(QUERY(raw_high, ""SELECT Col1 WHERE Col2 IS NOT NULL ORDER BY Col2 DESC LIMIT 1 LABEL Col1 ''"", 1"&amp;")), TODAY()-30),
    raw_data, IFERROR(GOOGLEFINANCE(""NSE:"" &amp; A159, ""close"", high_date, TODAY()), GOOGLEFINANCE(""NSE:"" &amp; A159,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59" s="7"/>
    </row>
    <row r="160">
      <c r="A160" s="8" t="s">
        <v>171</v>
      </c>
      <c r="B160" s="9">
        <v>1.459540429E9</v>
      </c>
      <c r="C160" s="9">
        <v>1348.0</v>
      </c>
      <c r="D160" s="12">
        <f>IFERROR(__xludf.DUMMYFUNCTION("GOOGLEFINANCE(""NSE:""&amp;A160,""price"")"),1345.0)</f>
        <v>1345</v>
      </c>
      <c r="E160" s="13">
        <f>IFERROR(__xludf.DUMMYFUNCTION("IFERROR(AVERAGE(QUERY(SORT(GOOGLEFINANCE(""NSE:""&amp;A160,""price"",TODAY()-75,TODAY()),1,0),""select Col2 limit 50"")), """")"),1467.5279999999998)</f>
        <v>1467.528</v>
      </c>
      <c r="F160" s="13">
        <f>IFERROR(__xludf.DUMMYFUNCTION("IFERROR(AVERAGE(QUERY(SORT(GOOGLEFINANCE(""NSE:""&amp;A160,""price"",TODAY()-150,TODAY()),1,0),""select Col2 limit 100"")), """")"),1332.5204999999996)</f>
        <v>1332.5205</v>
      </c>
      <c r="G160" s="13">
        <f>IFERROR(__xludf.DUMMYFUNCTION("IFERROR(AVERAGE(QUERY(SORT(GOOGLEFINANCE(""NSE:""&amp;A160,""price"",TODAY()-300,TODAY()),1,0),""select Col2 limit 200"")), """")"),1157.3804999999998)</f>
        <v>1157.3805</v>
      </c>
      <c r="H160" s="15" t="str">
        <f t="shared" si="1"/>
        <v>Unconfirmed</v>
      </c>
      <c r="I160" s="16">
        <f t="shared" si="2"/>
        <v>16.21070167</v>
      </c>
      <c r="J160" s="7" t="str">
        <f>IFERROR(__xludf.DUMMYFUNCTION("IFERROR(IF(A160="""",""ENTER STOCK"",
  LET(
    raw_high, GOOGLEFINANCE(""NSE:"" &amp; A160, ""high"", TODAY()-365, TODAY()),
    high_date, IFERROR(TO_DATE(QUERY(raw_high, ""SELECT Col1 WHERE Col2 IS NOT NULL ORDER BY Col2 DESC LIMIT 1 LABEL Col1 ''"", 1"&amp;")), TODAY()-30),
    raw_data, IFERROR(GOOGLEFINANCE(""NSE:"" &amp; A160, ""close"", high_date, TODAY()), GOOGLEFINANCE(""NSE:"" &amp; A160,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60" s="7"/>
    </row>
    <row r="161">
      <c r="A161" s="8" t="s">
        <v>172</v>
      </c>
      <c r="B161" s="9">
        <v>1.4546542167E9</v>
      </c>
      <c r="C161" s="9">
        <v>4060.0</v>
      </c>
      <c r="D161" s="12">
        <f>IFERROR(__xludf.DUMMYFUNCTION("GOOGLEFINANCE(""NSE:""&amp;A161,""price"")"),4052.5)</f>
        <v>4052.5</v>
      </c>
      <c r="E161" s="13">
        <f>IFERROR(__xludf.DUMMYFUNCTION("IFERROR(AVERAGE(QUERY(SORT(GOOGLEFINANCE(""NSE:""&amp;A161,""price"",TODAY()-75,TODAY()),1,0),""select Col2 limit 50"")), """")"),4076.008)</f>
        <v>4076.008</v>
      </c>
      <c r="F161" s="13">
        <f>IFERROR(__xludf.DUMMYFUNCTION("IFERROR(AVERAGE(QUERY(SORT(GOOGLEFINANCE(""NSE:""&amp;A161,""price"",TODAY()-150,TODAY()),1,0),""select Col2 limit 100"")), """")"),4178.283)</f>
        <v>4178.283</v>
      </c>
      <c r="G161" s="13">
        <f>IFERROR(__xludf.DUMMYFUNCTION("IFERROR(AVERAGE(QUERY(SORT(GOOGLEFINANCE(""NSE:""&amp;A161,""price"",TODAY()-300,TODAY()),1,0),""select Col2 limit 200"")), """")"),4037.288499999998)</f>
        <v>4037.2885</v>
      </c>
      <c r="H161" s="15" t="str">
        <f t="shared" si="1"/>
        <v>Unconfirmed</v>
      </c>
      <c r="I161" s="16">
        <f t="shared" si="2"/>
        <v>0.3767751549</v>
      </c>
      <c r="J161" s="7" t="str">
        <f>IFERROR(__xludf.DUMMYFUNCTION("IFERROR(IF(A161="""",""ENTER STOCK"",
  LET(
    raw_high, GOOGLEFINANCE(""NSE:"" &amp; A161, ""high"", TODAY()-365, TODAY()),
    high_date, IFERROR(TO_DATE(QUERY(raw_high, ""SELECT Col1 WHERE Col2 IS NOT NULL ORDER BY Col2 DESC LIMIT 1 LABEL Col1 ''"", 1"&amp;")), TODAY()-30),
    raw_data, IFERROR(GOOGLEFINANCE(""NSE:"" &amp; A161, ""close"", high_date, TODAY()), GOOGLEFINANCE(""NSE:"" &amp; A161,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61" s="7"/>
    </row>
    <row r="162">
      <c r="A162" s="8" t="s">
        <v>173</v>
      </c>
      <c r="B162" s="9">
        <v>1.4428444446E9</v>
      </c>
      <c r="C162" s="9">
        <v>4650.0</v>
      </c>
      <c r="D162" s="12">
        <f>IFERROR(__xludf.DUMMYFUNCTION("GOOGLEFINANCE(""NSE:""&amp;A162,""price"")"),4645.0)</f>
        <v>4645</v>
      </c>
      <c r="E162" s="13">
        <f>IFERROR(__xludf.DUMMYFUNCTION("IFERROR(AVERAGE(QUERY(SORT(GOOGLEFINANCE(""NSE:""&amp;A162,""price"",TODAY()-75,TODAY()),1,0),""select Col2 limit 50"")), """")"),4042.6900000000005)</f>
        <v>4042.69</v>
      </c>
      <c r="F162" s="13">
        <f>IFERROR(__xludf.DUMMYFUNCTION("IFERROR(AVERAGE(QUERY(SORT(GOOGLEFINANCE(""NSE:""&amp;A162,""price"",TODAY()-150,TODAY()),1,0),""select Col2 limit 100"")), """")"),3613.9950000000013)</f>
        <v>3613.995</v>
      </c>
      <c r="G162" s="13">
        <f>IFERROR(__xludf.DUMMYFUNCTION("IFERROR(AVERAGE(QUERY(SORT(GOOGLEFINANCE(""NSE:""&amp;A162,""price"",TODAY()-300,TODAY()),1,0),""select Col2 limit 200"")), """")"),3317.4399999999996)</f>
        <v>3317.44</v>
      </c>
      <c r="H162" s="15" t="str">
        <f t="shared" si="1"/>
        <v>Unconfirmed</v>
      </c>
      <c r="I162" s="16">
        <f t="shared" si="2"/>
        <v>40.01760394</v>
      </c>
      <c r="J162" s="7" t="str">
        <f>IFERROR(__xludf.DUMMYFUNCTION("IFERROR(IF(A162="""",""ENTER STOCK"",
  LET(
    raw_high, GOOGLEFINANCE(""NSE:"" &amp; A162, ""high"", TODAY()-365, TODAY()),
    high_date, IFERROR(TO_DATE(QUERY(raw_high, ""SELECT Col1 WHERE Col2 IS NOT NULL ORDER BY Col2 DESC LIMIT 1 LABEL Col1 ''"", 1"&amp;")), TODAY()-30),
    raw_data, IFERROR(GOOGLEFINANCE(""NSE:"" &amp; A162, ""close"", high_date, TODAY()), GOOGLEFINANCE(""NSE:"" &amp; A162,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62" s="7"/>
    </row>
    <row r="163">
      <c r="A163" s="8" t="s">
        <v>174</v>
      </c>
      <c r="B163" s="9">
        <v>1.4233073573E9</v>
      </c>
      <c r="C163" s="9">
        <v>1243.9</v>
      </c>
      <c r="D163" s="12">
        <f>IFERROR(__xludf.DUMMYFUNCTION("GOOGLEFINANCE(""NSE:""&amp;A163,""price"")"),1235.1)</f>
        <v>1235.1</v>
      </c>
      <c r="E163" s="13">
        <f>IFERROR(__xludf.DUMMYFUNCTION("IFERROR(AVERAGE(QUERY(SORT(GOOGLEFINANCE(""NSE:""&amp;A163,""price"",TODAY()-75,TODAY()),1,0),""select Col2 limit 50"")), """")"),1092.4370000000004)</f>
        <v>1092.437</v>
      </c>
      <c r="F163" s="13">
        <f>IFERROR(__xludf.DUMMYFUNCTION("IFERROR(AVERAGE(QUERY(SORT(GOOGLEFINANCE(""NSE:""&amp;A163,""price"",TODAY()-150,TODAY()),1,0),""select Col2 limit 100"")), """")"),970.6850000000002)</f>
        <v>970.685</v>
      </c>
      <c r="G163" s="13">
        <f>IFERROR(__xludf.DUMMYFUNCTION("IFERROR(AVERAGE(QUERY(SORT(GOOGLEFINANCE(""NSE:""&amp;A163,""price"",TODAY()-300,TODAY()),1,0),""select Col2 limit 200"")), """")"),1021.4732499999997)</f>
        <v>1021.47325</v>
      </c>
      <c r="H163" s="15" t="str">
        <f t="shared" si="1"/>
        <v>Unconfirmed</v>
      </c>
      <c r="I163" s="16">
        <f t="shared" si="2"/>
        <v>20.91359221</v>
      </c>
      <c r="J163" s="7" t="str">
        <f>IFERROR(__xludf.DUMMYFUNCTION("IFERROR(IF(A163="""",""ENTER STOCK"",
  LET(
    raw_high, GOOGLEFINANCE(""NSE:"" &amp; A163, ""high"", TODAY()-365, TODAY()),
    high_date, IFERROR(TO_DATE(QUERY(raw_high, ""SELECT Col1 WHERE Col2 IS NOT NULL ORDER BY Col2 DESC LIMIT 1 LABEL Col1 ''"", 1"&amp;")), TODAY()-30),
    raw_data, IFERROR(GOOGLEFINANCE(""NSE:"" &amp; A163, ""close"", high_date, TODAY()), GOOGLEFINANCE(""NSE:"" &amp; A163,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63" s="7"/>
    </row>
    <row r="164">
      <c r="A164" s="8" t="s">
        <v>175</v>
      </c>
      <c r="B164" s="9">
        <v>1.4145435266E9</v>
      </c>
      <c r="C164" s="9">
        <v>527.0</v>
      </c>
      <c r="D164" s="12">
        <f>IFERROR(__xludf.DUMMYFUNCTION("GOOGLEFINANCE(""NSE:""&amp;A164,""price"")"),529.2)</f>
        <v>529.2</v>
      </c>
      <c r="E164" s="13">
        <f>IFERROR(__xludf.DUMMYFUNCTION("IFERROR(AVERAGE(QUERY(SORT(GOOGLEFINANCE(""NSE:""&amp;A164,""price"",TODAY()-75,TODAY()),1,0),""select Col2 limit 50"")), """")"),485.11499999999995)</f>
        <v>485.115</v>
      </c>
      <c r="F164" s="13">
        <f>IFERROR(__xludf.DUMMYFUNCTION("IFERROR(AVERAGE(QUERY(SORT(GOOGLEFINANCE(""NSE:""&amp;A164,""price"",TODAY()-150,TODAY()),1,0),""select Col2 limit 100"")), """")"),485.9459999999999)</f>
        <v>485.946</v>
      </c>
      <c r="G164" s="13">
        <f>IFERROR(__xludf.DUMMYFUNCTION("IFERROR(AVERAGE(QUERY(SORT(GOOGLEFINANCE(""NSE:""&amp;A164,""price"",TODAY()-300,TODAY()),1,0),""select Col2 limit 200"")), """")"),497.3555000000002)</f>
        <v>497.3555</v>
      </c>
      <c r="H164" s="15" t="str">
        <f t="shared" si="1"/>
        <v>In Bull Run</v>
      </c>
      <c r="I164" s="16">
        <f t="shared" si="2"/>
        <v>6.40276422</v>
      </c>
      <c r="J164" s="7" t="str">
        <f>IFERROR(__xludf.DUMMYFUNCTION("IFERROR(IF(A164="""",""ENTER STOCK"",
  LET(
    raw_high, GOOGLEFINANCE(""NSE:"" &amp; A164, ""high"", TODAY()-365, TODAY()),
    high_date, IFERROR(TO_DATE(QUERY(raw_high, ""SELECT Col1 WHERE Col2 IS NOT NULL ORDER BY Col2 DESC LIMIT 1 LABEL Col1 ''"", 1"&amp;")), TODAY()-30),
    raw_data, IFERROR(GOOGLEFINANCE(""NSE:"" &amp; A164, ""close"", high_date, TODAY()), GOOGLEFINANCE(""NSE:"" &amp; A164,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64" s="7"/>
    </row>
    <row r="165">
      <c r="A165" s="8" t="s">
        <v>176</v>
      </c>
      <c r="B165" s="9">
        <v>1.4107035742E9</v>
      </c>
      <c r="C165" s="9">
        <v>1343.0</v>
      </c>
      <c r="D165" s="12">
        <f>IFERROR(__xludf.DUMMYFUNCTION("GOOGLEFINANCE(""NSE:""&amp;A165,""price"")"),1338.9)</f>
        <v>1338.9</v>
      </c>
      <c r="E165" s="13">
        <f>IFERROR(__xludf.DUMMYFUNCTION("IFERROR(AVERAGE(QUERY(SORT(GOOGLEFINANCE(""NSE:""&amp;A165,""price"",TODAY()-75,TODAY()),1,0),""select Col2 limit 50"")), """")"),1131.7660000000003)</f>
        <v>1131.766</v>
      </c>
      <c r="F165" s="13">
        <f>IFERROR(__xludf.DUMMYFUNCTION("IFERROR(AVERAGE(QUERY(SORT(GOOGLEFINANCE(""NSE:""&amp;A165,""price"",TODAY()-150,TODAY()),1,0),""select Col2 limit 100"")), """")"),1059.6919999999996)</f>
        <v>1059.692</v>
      </c>
      <c r="G165" s="13">
        <f>IFERROR(__xludf.DUMMYFUNCTION("IFERROR(AVERAGE(QUERY(SORT(GOOGLEFINANCE(""NSE:""&amp;A165,""price"",TODAY()-300,TODAY()),1,0),""select Col2 limit 200"")), """")"),1158.5134999999996)</f>
        <v>1158.5135</v>
      </c>
      <c r="H165" s="15" t="str">
        <f t="shared" si="1"/>
        <v>Unconfirmed</v>
      </c>
      <c r="I165" s="16">
        <f t="shared" si="2"/>
        <v>15.57051342</v>
      </c>
      <c r="J165" s="7" t="str">
        <f>IFERROR(__xludf.DUMMYFUNCTION("IFERROR(IF(A165="""",""ENTER STOCK"",
  LET(
    raw_high, GOOGLEFINANCE(""NSE:"" &amp; A165, ""high"", TODAY()-365, TODAY()),
    high_date, IFERROR(TO_DATE(QUERY(raw_high, ""SELECT Col1 WHERE Col2 IS NOT NULL ORDER BY Col2 DESC LIMIT 1 LABEL Col1 ''"", 1"&amp;")), TODAY()-30),
    raw_data, IFERROR(GOOGLEFINANCE(""NSE:"" &amp; A165, ""close"", high_date, TODAY()), GOOGLEFINANCE(""NSE:"" &amp; A165,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65" s="7"/>
    </row>
    <row r="166">
      <c r="A166" s="8" t="s">
        <v>177</v>
      </c>
      <c r="B166" s="9">
        <v>1.4063963274E9</v>
      </c>
      <c r="C166" s="9">
        <v>1360.0</v>
      </c>
      <c r="D166" s="12">
        <f>IFERROR(__xludf.DUMMYFUNCTION("GOOGLEFINANCE(""NSE:""&amp;A166,""price"")"),1360.8)</f>
        <v>1360.8</v>
      </c>
      <c r="E166" s="13">
        <f>IFERROR(__xludf.DUMMYFUNCTION("IFERROR(AVERAGE(QUERY(SORT(GOOGLEFINANCE(""NSE:""&amp;A166,""price"",TODAY()-75,TODAY()),1,0),""select Col2 limit 50"")), """")"),1212.226)</f>
        <v>1212.226</v>
      </c>
      <c r="F166" s="13">
        <f>IFERROR(__xludf.DUMMYFUNCTION("IFERROR(AVERAGE(QUERY(SORT(GOOGLEFINANCE(""NSE:""&amp;A166,""price"",TODAY()-150,TODAY()),1,0),""select Col2 limit 100"")), """")"),1242.8949999999998)</f>
        <v>1242.895</v>
      </c>
      <c r="G166" s="13">
        <f>IFERROR(__xludf.DUMMYFUNCTION("IFERROR(AVERAGE(QUERY(SORT(GOOGLEFINANCE(""NSE:""&amp;A166,""price"",TODAY()-300,TODAY()),1,0),""select Col2 limit 200"")), """")"),1407.4930000000004)</f>
        <v>1407.493</v>
      </c>
      <c r="H166" s="15" t="str">
        <f t="shared" si="1"/>
        <v>Unconfirmed</v>
      </c>
      <c r="I166" s="16">
        <f t="shared" si="2"/>
        <v>-3.317458772</v>
      </c>
      <c r="J166" s="7" t="str">
        <f>IFERROR(__xludf.DUMMYFUNCTION("IFERROR(IF(A166="""",""ENTER STOCK"",
  LET(
    raw_high, GOOGLEFINANCE(""NSE:"" &amp; A166, ""high"", TODAY()-365, TODAY()),
    high_date, IFERROR(TO_DATE(QUERY(raw_high, ""SELECT Col1 WHERE Col2 IS NOT NULL ORDER BY Col2 DESC LIMIT 1 LABEL Col1 ''"", 1"&amp;")), TODAY()-30),
    raw_data, IFERROR(GOOGLEFINANCE(""NSE:"" &amp; A166, ""close"", high_date, TODAY()), GOOGLEFINANCE(""NSE:"" &amp; A166,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66" s="7"/>
    </row>
    <row r="167">
      <c r="A167" s="8" t="s">
        <v>178</v>
      </c>
      <c r="B167" s="9">
        <v>1.40408123275E9</v>
      </c>
      <c r="C167" s="9">
        <v>929.0</v>
      </c>
      <c r="D167" s="12">
        <f>IFERROR(__xludf.DUMMYFUNCTION("GOOGLEFINANCE(""NSE:""&amp;A167,""price"")"),923.5)</f>
        <v>923.5</v>
      </c>
      <c r="E167" s="13">
        <f>IFERROR(__xludf.DUMMYFUNCTION("IFERROR(AVERAGE(QUERY(SORT(GOOGLEFINANCE(""NSE:""&amp;A167,""price"",TODAY()-75,TODAY()),1,0),""select Col2 limit 50"")), """")"),956.903)</f>
        <v>956.903</v>
      </c>
      <c r="F167" s="13">
        <f>IFERROR(__xludf.DUMMYFUNCTION("IFERROR(AVERAGE(QUERY(SORT(GOOGLEFINANCE(""NSE:""&amp;A167,""price"",TODAY()-150,TODAY()),1,0),""select Col2 limit 100"")), """")"),931.0515)</f>
        <v>931.0515</v>
      </c>
      <c r="G167" s="13">
        <f>IFERROR(__xludf.DUMMYFUNCTION("IFERROR(AVERAGE(QUERY(SORT(GOOGLEFINANCE(""NSE:""&amp;A167,""price"",TODAY()-300,TODAY()),1,0),""select Col2 limit 200"")), """")"),921.4622499999998)</f>
        <v>921.46225</v>
      </c>
      <c r="H167" s="15" t="str">
        <f t="shared" si="1"/>
        <v>Unconfirmed</v>
      </c>
      <c r="I167" s="16">
        <f t="shared" si="2"/>
        <v>0.2211430799</v>
      </c>
      <c r="J167" s="7" t="str">
        <f>IFERROR(__xludf.DUMMYFUNCTION("IFERROR(IF(A167="""",""ENTER STOCK"",
  LET(
    raw_high, GOOGLEFINANCE(""NSE:"" &amp; A167, ""high"", TODAY()-365, TODAY()),
    high_date, IFERROR(TO_DATE(QUERY(raw_high, ""SELECT Col1 WHERE Col2 IS NOT NULL ORDER BY Col2 DESC LIMIT 1 LABEL Col1 ''"", 1"&amp;")), TODAY()-30),
    raw_data, IFERROR(GOOGLEFINANCE(""NSE:"" &amp; A167, ""close"", high_date, TODAY()), GOOGLEFINANCE(""NSE:"" &amp; A167,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67" s="7"/>
    </row>
    <row r="168">
      <c r="A168" s="8" t="s">
        <v>179</v>
      </c>
      <c r="B168" s="9">
        <v>1.40119101695E9</v>
      </c>
      <c r="C168" s="9">
        <v>849.35</v>
      </c>
      <c r="D168" s="12">
        <f>IFERROR(__xludf.DUMMYFUNCTION("GOOGLEFINANCE(""NSE:""&amp;A168,""price"")"),848.0)</f>
        <v>848</v>
      </c>
      <c r="E168" s="13">
        <f>IFERROR(__xludf.DUMMYFUNCTION("IFERROR(AVERAGE(QUERY(SORT(GOOGLEFINANCE(""NSE:""&amp;A168,""price"",TODAY()-75,TODAY()),1,0),""select Col2 limit 50"")), """")"),813.4833333333332)</f>
        <v>813.4833333</v>
      </c>
      <c r="F168" s="13">
        <f>IFERROR(__xludf.DUMMYFUNCTION("IFERROR(AVERAGE(QUERY(SORT(GOOGLEFINANCE(""NSE:""&amp;A168,""price"",TODAY()-150,TODAY()),1,0),""select Col2 limit 100"")), """")"),813.4833333333332)</f>
        <v>813.4833333</v>
      </c>
      <c r="G168" s="13">
        <f>IFERROR(__xludf.DUMMYFUNCTION("IFERROR(AVERAGE(QUERY(SORT(GOOGLEFINANCE(""NSE:""&amp;A168,""price"",TODAY()-300,TODAY()),1,0),""select Col2 limit 200"")), """")"),813.4833333333332)</f>
        <v>813.4833333</v>
      </c>
      <c r="H168" s="15" t="str">
        <f t="shared" si="1"/>
        <v>In Bull Run</v>
      </c>
      <c r="I168" s="16">
        <f t="shared" si="2"/>
        <v>4.243069926</v>
      </c>
      <c r="J168" s="7" t="str">
        <f>IFERROR(__xludf.DUMMYFUNCTION("IFERROR(IF(A168="""",""ENTER STOCK"",
  LET(
    raw_high, GOOGLEFINANCE(""NSE:"" &amp; A168, ""high"", TODAY()-365, TODAY()),
    high_date, IFERROR(TO_DATE(QUERY(raw_high, ""SELECT Col1 WHERE Col2 IS NOT NULL ORDER BY Col2 DESC LIMIT 1 LABEL Col1 ''"", 1"&amp;")), TODAY()-30),
    raw_data, IFERROR(GOOGLEFINANCE(""NSE:"" &amp; A168, ""close"", high_date, TODAY()), GOOGLEFINANCE(""NSE:"" &amp; A168,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68" s="7"/>
    </row>
    <row r="169">
      <c r="A169" s="8" t="s">
        <v>180</v>
      </c>
      <c r="B169" s="9">
        <v>1.3992392362E9</v>
      </c>
      <c r="C169" s="9">
        <v>1556.3</v>
      </c>
      <c r="D169" s="12">
        <f>IFERROR(__xludf.DUMMYFUNCTION("GOOGLEFINANCE(""NSE:""&amp;A169,""price"")"),1558.5)</f>
        <v>1558.5</v>
      </c>
      <c r="E169" s="13">
        <f>IFERROR(__xludf.DUMMYFUNCTION("IFERROR(AVERAGE(QUERY(SORT(GOOGLEFINANCE(""NSE:""&amp;A169,""price"",TODAY()-75,TODAY()),1,0),""select Col2 limit 50"")), """")"),1448.644)</f>
        <v>1448.644</v>
      </c>
      <c r="F169" s="13">
        <f>IFERROR(__xludf.DUMMYFUNCTION("IFERROR(AVERAGE(QUERY(SORT(GOOGLEFINANCE(""NSE:""&amp;A169,""price"",TODAY()-150,TODAY()),1,0),""select Col2 limit 100"")), """")"),1506.138)</f>
        <v>1506.138</v>
      </c>
      <c r="G169" s="13">
        <f>IFERROR(__xludf.DUMMYFUNCTION("IFERROR(AVERAGE(QUERY(SORT(GOOGLEFINANCE(""NSE:""&amp;A169,""price"",TODAY()-300,TODAY()),1,0),""select Col2 limit 200"")), """")"),1504.5105)</f>
        <v>1504.5105</v>
      </c>
      <c r="H169" s="15" t="str">
        <f t="shared" si="1"/>
        <v>In Bull Run</v>
      </c>
      <c r="I169" s="16">
        <f t="shared" si="2"/>
        <v>3.588509352</v>
      </c>
      <c r="J169" s="7" t="str">
        <f>IFERROR(__xludf.DUMMYFUNCTION("IFERROR(IF(A169="""",""ENTER STOCK"",
  LET(
    raw_high, GOOGLEFINANCE(""NSE:"" &amp; A169, ""high"", TODAY()-365, TODAY()),
    high_date, IFERROR(TO_DATE(QUERY(raw_high, ""SELECT Col1 WHERE Col2 IS NOT NULL ORDER BY Col2 DESC LIMIT 1 LABEL Col1 ''"", 1"&amp;")), TODAY()-30),
    raw_data, IFERROR(GOOGLEFINANCE(""NSE:"" &amp; A169, ""close"", high_date, TODAY()), GOOGLEFINANCE(""NSE:"" &amp; A169,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69" s="7"/>
    </row>
    <row r="170">
      <c r="A170" s="8" t="s">
        <v>181</v>
      </c>
      <c r="B170" s="9">
        <v>1.3955106846E9</v>
      </c>
      <c r="C170" s="9">
        <v>2199.0</v>
      </c>
      <c r="D170" s="12">
        <f>IFERROR(__xludf.DUMMYFUNCTION("GOOGLEFINANCE(""NSE:""&amp;A170,""price"")"),2198.0)</f>
        <v>2198</v>
      </c>
      <c r="E170" s="13">
        <f>IFERROR(__xludf.DUMMYFUNCTION("IFERROR(AVERAGE(QUERY(SORT(GOOGLEFINANCE(""NSE:""&amp;A170,""price"",TODAY()-75,TODAY()),1,0),""select Col2 limit 50"")), """")"),2017.9280000000006)</f>
        <v>2017.928</v>
      </c>
      <c r="F170" s="13">
        <f>IFERROR(__xludf.DUMMYFUNCTION("IFERROR(AVERAGE(QUERY(SORT(GOOGLEFINANCE(""NSE:""&amp;A170,""price"",TODAY()-150,TODAY()),1,0),""select Col2 limit 100"")), """")"),1927.056)</f>
        <v>1927.056</v>
      </c>
      <c r="G170" s="13">
        <f>IFERROR(__xludf.DUMMYFUNCTION("IFERROR(AVERAGE(QUERY(SORT(GOOGLEFINANCE(""NSE:""&amp;A170,""price"",TODAY()-300,TODAY()),1,0),""select Col2 limit 200"")), """")"),2094.8360000000007)</f>
        <v>2094.836</v>
      </c>
      <c r="H170" s="15" t="str">
        <f t="shared" si="1"/>
        <v>In Bull Run</v>
      </c>
      <c r="I170" s="16">
        <f t="shared" si="2"/>
        <v>4.924681455</v>
      </c>
      <c r="J170" s="7" t="str">
        <f>IFERROR(__xludf.DUMMYFUNCTION("IFERROR(IF(A170="""",""ENTER STOCK"",
  LET(
    raw_high, GOOGLEFINANCE(""NSE:"" &amp; A170, ""high"", TODAY()-365, TODAY()),
    high_date, IFERROR(TO_DATE(QUERY(raw_high, ""SELECT Col1 WHERE Col2 IS NOT NULL ORDER BY Col2 DESC LIMIT 1 LABEL Col1 ''"", 1"&amp;")), TODAY()-30),
    raw_data, IFERROR(GOOGLEFINANCE(""NSE:"" &amp; A170, ""close"", high_date, TODAY()), GOOGLEFINANCE(""NSE:"" &amp; A170,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70" s="7"/>
    </row>
    <row r="171">
      <c r="A171" s="8" t="s">
        <v>182</v>
      </c>
      <c r="B171" s="9">
        <v>1.38572277854E9</v>
      </c>
      <c r="C171" s="9">
        <v>144.39</v>
      </c>
      <c r="D171" s="12">
        <f>IFERROR(__xludf.DUMMYFUNCTION("GOOGLEFINANCE(""NSE:""&amp;A171,""price"")"),144.2)</f>
        <v>144.2</v>
      </c>
      <c r="E171" s="13">
        <f>IFERROR(__xludf.DUMMYFUNCTION("IFERROR(AVERAGE(QUERY(SORT(GOOGLEFINANCE(""NSE:""&amp;A171,""price"",TODAY()-75,TODAY()),1,0),""select Col2 limit 50"")), """")"),132.9552)</f>
        <v>132.9552</v>
      </c>
      <c r="F171" s="13">
        <f>IFERROR(__xludf.DUMMYFUNCTION("IFERROR(AVERAGE(QUERY(SORT(GOOGLEFINANCE(""NSE:""&amp;A171,""price"",TODAY()-150,TODAY()),1,0),""select Col2 limit 100"")), """")"),130.9031)</f>
        <v>130.9031</v>
      </c>
      <c r="G171" s="13">
        <f>IFERROR(__xludf.DUMMYFUNCTION("IFERROR(AVERAGE(QUERY(SORT(GOOGLEFINANCE(""NSE:""&amp;A171,""price"",TODAY()-300,TODAY()),1,0),""select Col2 limit 200"")), """")"),129.85919999999996)</f>
        <v>129.8592</v>
      </c>
      <c r="H171" s="15" t="str">
        <f t="shared" si="1"/>
        <v>Unconfirmed</v>
      </c>
      <c r="I171" s="16">
        <f t="shared" si="2"/>
        <v>11.04334541</v>
      </c>
      <c r="J171" s="7" t="str">
        <f>IFERROR(__xludf.DUMMYFUNCTION("IFERROR(IF(A171="""",""ENTER STOCK"",
  LET(
    raw_high, GOOGLEFINANCE(""NSE:"" &amp; A171, ""high"", TODAY()-365, TODAY()),
    high_date, IFERROR(TO_DATE(QUERY(raw_high, ""SELECT Col1 WHERE Col2 IS NOT NULL ORDER BY Col2 DESC LIMIT 1 LABEL Col1 ''"", 1"&amp;")), TODAY()-30),
    raw_data, IFERROR(GOOGLEFINANCE(""NSE:"" &amp; A171, ""close"", high_date, TODAY()), GOOGLEFINANCE(""NSE:"" &amp; A171,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71" s="7"/>
    </row>
    <row r="172">
      <c r="A172" s="8" t="s">
        <v>183</v>
      </c>
      <c r="B172" s="9">
        <v>1.3794795215E9</v>
      </c>
      <c r="C172" s="9">
        <v>5558.0</v>
      </c>
      <c r="D172" s="12">
        <f>IFERROR(__xludf.DUMMYFUNCTION("GOOGLEFINANCE(""NSE:""&amp;A172,""price"")"),5550.0)</f>
        <v>5550</v>
      </c>
      <c r="E172" s="13">
        <f>IFERROR(__xludf.DUMMYFUNCTION("IFERROR(AVERAGE(QUERY(SORT(GOOGLEFINANCE(""NSE:""&amp;A172,""price"",TODAY()-75,TODAY()),1,0),""select Col2 limit 50"")), """")"),5351.96)</f>
        <v>5351.96</v>
      </c>
      <c r="F172" s="13">
        <f>IFERROR(__xludf.DUMMYFUNCTION("IFERROR(AVERAGE(QUERY(SORT(GOOGLEFINANCE(""NSE:""&amp;A172,""price"",TODAY()-150,TODAY()),1,0),""select Col2 limit 100"")), """")"),5431.745)</f>
        <v>5431.745</v>
      </c>
      <c r="G172" s="13">
        <f>IFERROR(__xludf.DUMMYFUNCTION("IFERROR(AVERAGE(QUERY(SORT(GOOGLEFINANCE(""NSE:""&amp;A172,""price"",TODAY()-300,TODAY()),1,0),""select Col2 limit 200"")), """")"),5688.445)</f>
        <v>5688.445</v>
      </c>
      <c r="H172" s="15" t="str">
        <f t="shared" si="1"/>
        <v>Unconfirmed</v>
      </c>
      <c r="I172" s="16">
        <f t="shared" si="2"/>
        <v>-2.433793418</v>
      </c>
      <c r="J172" s="7" t="str">
        <f>IFERROR(__xludf.DUMMYFUNCTION("IFERROR(IF(A172="""",""ENTER STOCK"",
  LET(
    raw_high, GOOGLEFINANCE(""NSE:"" &amp; A172, ""high"", TODAY()-365, TODAY()),
    high_date, IFERROR(TO_DATE(QUERY(raw_high, ""SELECT Col1 WHERE Col2 IS NOT NULL ORDER BY Col2 DESC LIMIT 1 LABEL Col1 ''"", 1"&amp;")), TODAY()-30),
    raw_data, IFERROR(GOOGLEFINANCE(""NSE:"" &amp; A172, ""close"", high_date, TODAY()), GOOGLEFINANCE(""NSE:"" &amp; A172,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72" s="7"/>
    </row>
    <row r="173">
      <c r="A173" s="8" t="s">
        <v>184</v>
      </c>
      <c r="B173" s="9">
        <v>1.36995912625E9</v>
      </c>
      <c r="C173" s="9">
        <v>497.9</v>
      </c>
      <c r="D173" s="12">
        <f>IFERROR(__xludf.DUMMYFUNCTION("GOOGLEFINANCE(""NSE:""&amp;A173,""price"")"),497.0)</f>
        <v>497</v>
      </c>
      <c r="E173" s="13">
        <f>IFERROR(__xludf.DUMMYFUNCTION("IFERROR(AVERAGE(QUERY(SORT(GOOGLEFINANCE(""NSE:""&amp;A173,""price"",TODAY()-75,TODAY()),1,0),""select Col2 limit 50"")), """")"),450.7260000000001)</f>
        <v>450.726</v>
      </c>
      <c r="F173" s="13">
        <f>IFERROR(__xludf.DUMMYFUNCTION("IFERROR(AVERAGE(QUERY(SORT(GOOGLEFINANCE(""NSE:""&amp;A173,""price"",TODAY()-150,TODAY()),1,0),""select Col2 limit 100"")), """")"),429.78650000000016)</f>
        <v>429.7865</v>
      </c>
      <c r="G173" s="13">
        <f>IFERROR(__xludf.DUMMYFUNCTION("IFERROR(AVERAGE(QUERY(SORT(GOOGLEFINANCE(""NSE:""&amp;A173,""price"",TODAY()-300,TODAY()),1,0),""select Col2 limit 200"")), """")"),443.1585000000001)</f>
        <v>443.1585</v>
      </c>
      <c r="H173" s="15" t="str">
        <f t="shared" si="1"/>
        <v>Unconfirmed</v>
      </c>
      <c r="I173" s="16">
        <f t="shared" si="2"/>
        <v>12.14949053</v>
      </c>
      <c r="J173" s="7" t="str">
        <f>IFERROR(__xludf.DUMMYFUNCTION("IFERROR(IF(A173="""",""ENTER STOCK"",
  LET(
    raw_high, GOOGLEFINANCE(""NSE:"" &amp; A173, ""high"", TODAY()-365, TODAY()),
    high_date, IFERROR(TO_DATE(QUERY(raw_high, ""SELECT Col1 WHERE Col2 IS NOT NULL ORDER BY Col2 DESC LIMIT 1 LABEL Col1 ''"", 1"&amp;")), TODAY()-30),
    raw_data, IFERROR(GOOGLEFINANCE(""NSE:"" &amp; A173, ""close"", high_date, TODAY()), GOOGLEFINANCE(""NSE:"" &amp; A173,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73" s="7"/>
    </row>
    <row r="174">
      <c r="A174" s="8" t="s">
        <v>185</v>
      </c>
      <c r="B174" s="9">
        <v>1.36646909555E9</v>
      </c>
      <c r="C174" s="9">
        <v>890.15</v>
      </c>
      <c r="D174" s="12">
        <f>IFERROR(__xludf.DUMMYFUNCTION("GOOGLEFINANCE(""NSE:""&amp;A174,""price"")"),890.15)</f>
        <v>890.15</v>
      </c>
      <c r="E174" s="13">
        <f>IFERROR(__xludf.DUMMYFUNCTION("IFERROR(AVERAGE(QUERY(SORT(GOOGLEFINANCE(""NSE:""&amp;A174,""price"",TODAY()-75,TODAY()),1,0),""select Col2 limit 50"")), """")"),908.1279999999997)</f>
        <v>908.128</v>
      </c>
      <c r="F174" s="13">
        <f>IFERROR(__xludf.DUMMYFUNCTION("IFERROR(AVERAGE(QUERY(SORT(GOOGLEFINANCE(""NSE:""&amp;A174,""price"",TODAY()-150,TODAY()),1,0),""select Col2 limit 100"")), """")"),852.8635000000004)</f>
        <v>852.8635</v>
      </c>
      <c r="G174" s="13">
        <f>IFERROR(__xludf.DUMMYFUNCTION("IFERROR(AVERAGE(QUERY(SORT(GOOGLEFINANCE(""NSE:""&amp;A174,""price"",TODAY()-300,TODAY()),1,0),""select Col2 limit 200"")), """")"),764.4862500000007)</f>
        <v>764.48625</v>
      </c>
      <c r="H174" s="15" t="str">
        <f t="shared" si="1"/>
        <v>Unconfirmed</v>
      </c>
      <c r="I174" s="16">
        <f t="shared" si="2"/>
        <v>16.43767301</v>
      </c>
      <c r="J174" s="7" t="str">
        <f>IFERROR(__xludf.DUMMYFUNCTION("IFERROR(IF(A174="""",""ENTER STOCK"",
  LET(
    raw_high, GOOGLEFINANCE(""NSE:"" &amp; A174, ""high"", TODAY()-365, TODAY()),
    high_date, IFERROR(TO_DATE(QUERY(raw_high, ""SELECT Col1 WHERE Col2 IS NOT NULL ORDER BY Col2 DESC LIMIT 1 LABEL Col1 ''"", 1"&amp;")), TODAY()-30),
    raw_data, IFERROR(GOOGLEFINANCE(""NSE:"" &amp; A174, ""close"", high_date, TODAY()), GOOGLEFINANCE(""NSE:"" &amp; A174,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74" s="7"/>
    </row>
    <row r="175">
      <c r="A175" s="8" t="s">
        <v>186</v>
      </c>
      <c r="B175" s="9">
        <v>1.35821403339E9</v>
      </c>
      <c r="C175" s="9">
        <v>184.0</v>
      </c>
      <c r="D175" s="12">
        <f>IFERROR(__xludf.DUMMYFUNCTION("GOOGLEFINANCE(""NSE:""&amp;A175,""price"")"),184.0)</f>
        <v>184</v>
      </c>
      <c r="E175" s="13">
        <f>IFERROR(__xludf.DUMMYFUNCTION("IFERROR(AVERAGE(QUERY(SORT(GOOGLEFINANCE(""NSE:""&amp;A175,""price"",TODAY()-75,TODAY()),1,0),""select Col2 limit 50"")), """")"),179.61120000000005)</f>
        <v>179.6112</v>
      </c>
      <c r="F175" s="13">
        <f>IFERROR(__xludf.DUMMYFUNCTION("IFERROR(AVERAGE(QUERY(SORT(GOOGLEFINANCE(""NSE:""&amp;A175,""price"",TODAY()-150,TODAY()),1,0),""select Col2 limit 100"")), """")"),189.28230000000002)</f>
        <v>189.2823</v>
      </c>
      <c r="G175" s="13">
        <f>IFERROR(__xludf.DUMMYFUNCTION("IFERROR(AVERAGE(QUERY(SORT(GOOGLEFINANCE(""NSE:""&amp;A175,""price"",TODAY()-300,TODAY()),1,0),""select Col2 limit 200"")), """")"),214.12975000000006)</f>
        <v>214.12975</v>
      </c>
      <c r="H175" s="15" t="str">
        <f t="shared" si="1"/>
        <v>Unconfirmed</v>
      </c>
      <c r="I175" s="16">
        <f t="shared" si="2"/>
        <v>-14.07079119</v>
      </c>
      <c r="J175" s="7" t="str">
        <f>IFERROR(__xludf.DUMMYFUNCTION("IFERROR(IF(A175="""",""ENTER STOCK"",
  LET(
    raw_high, GOOGLEFINANCE(""NSE:"" &amp; A175, ""high"", TODAY()-365, TODAY()),
    high_date, IFERROR(TO_DATE(QUERY(raw_high, ""SELECT Col1 WHERE Col2 IS NOT NULL ORDER BY Col2 DESC LIMIT 1 LABEL Col1 ''"", 1"&amp;")), TODAY()-30),
    raw_data, IFERROR(GOOGLEFINANCE(""NSE:"" &amp; A175, ""close"", high_date, TODAY()), GOOGLEFINANCE(""NSE:"" &amp; A175,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75" s="7"/>
    </row>
    <row r="176">
      <c r="A176" s="8" t="s">
        <v>187</v>
      </c>
      <c r="B176" s="9">
        <v>1.35802212155E9</v>
      </c>
      <c r="C176" s="9">
        <v>534.1</v>
      </c>
      <c r="D176" s="12">
        <f>IFERROR(__xludf.DUMMYFUNCTION("GOOGLEFINANCE(""NSE:""&amp;A176,""price"")"),535.0)</f>
        <v>535</v>
      </c>
      <c r="E176" s="13">
        <f>IFERROR(__xludf.DUMMYFUNCTION("IFERROR(AVERAGE(QUERY(SORT(GOOGLEFINANCE(""NSE:""&amp;A176,""price"",TODAY()-75,TODAY()),1,0),""select Col2 limit 50"")), """")"),482.1190000000001)</f>
        <v>482.119</v>
      </c>
      <c r="F176" s="13">
        <f>IFERROR(__xludf.DUMMYFUNCTION("IFERROR(AVERAGE(QUERY(SORT(GOOGLEFINANCE(""NSE:""&amp;A176,""price"",TODAY()-150,TODAY()),1,0),""select Col2 limit 100"")), """")"),469.4934999999999)</f>
        <v>469.4935</v>
      </c>
      <c r="G176" s="13">
        <f>IFERROR(__xludf.DUMMYFUNCTION("IFERROR(AVERAGE(QUERY(SORT(GOOGLEFINANCE(""NSE:""&amp;A176,""price"",TODAY()-300,TODAY()),1,0),""select Col2 limit 200"")), """")"),432.0202499999998)</f>
        <v>432.02025</v>
      </c>
      <c r="H176" s="15" t="str">
        <f t="shared" si="1"/>
        <v>Unconfirmed</v>
      </c>
      <c r="I176" s="16">
        <f t="shared" si="2"/>
        <v>23.83678774</v>
      </c>
      <c r="J176" s="7" t="str">
        <f>IFERROR(__xludf.DUMMYFUNCTION("IFERROR(IF(A176="""",""ENTER STOCK"",
  LET(
    raw_high, GOOGLEFINANCE(""NSE:"" &amp; A176, ""high"", TODAY()-365, TODAY()),
    high_date, IFERROR(TO_DATE(QUERY(raw_high, ""SELECT Col1 WHERE Col2 IS NOT NULL ORDER BY Col2 DESC LIMIT 1 LABEL Col1 ''"", 1"&amp;")), TODAY()-30),
    raw_data, IFERROR(GOOGLEFINANCE(""NSE:"" &amp; A176, ""close"", high_date, TODAY()), GOOGLEFINANCE(""NSE:"" &amp; A176,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76" s="7"/>
    </row>
    <row r="177">
      <c r="A177" s="8" t="s">
        <v>188</v>
      </c>
      <c r="B177" s="9">
        <v>1.3493917741E9</v>
      </c>
      <c r="C177" s="9">
        <v>1622.1</v>
      </c>
      <c r="D177" s="12">
        <f>IFERROR(__xludf.DUMMYFUNCTION("GOOGLEFINANCE(""NSE:""&amp;A177,""price"")"),1625.8)</f>
        <v>1625.8</v>
      </c>
      <c r="E177" s="13">
        <f>IFERROR(__xludf.DUMMYFUNCTION("IFERROR(AVERAGE(QUERY(SORT(GOOGLEFINANCE(""NSE:""&amp;A177,""price"",TODAY()-75,TODAY()),1,0),""select Col2 limit 50"")), """")"),1546.9900000000002)</f>
        <v>1546.99</v>
      </c>
      <c r="F177" s="13">
        <f>IFERROR(__xludf.DUMMYFUNCTION("IFERROR(AVERAGE(QUERY(SORT(GOOGLEFINANCE(""NSE:""&amp;A177,""price"",TODAY()-150,TODAY()),1,0),""select Col2 limit 100"")), """")"),1477.2360000000003)</f>
        <v>1477.236</v>
      </c>
      <c r="G177" s="13">
        <f>IFERROR(__xludf.DUMMYFUNCTION("IFERROR(AVERAGE(QUERY(SORT(GOOGLEFINANCE(""NSE:""&amp;A177,""price"",TODAY()-300,TODAY()),1,0),""select Col2 limit 200"")), """")"),1334.0880000000006)</f>
        <v>1334.088</v>
      </c>
      <c r="H177" s="15" t="str">
        <f t="shared" si="1"/>
        <v>Unconfirmed</v>
      </c>
      <c r="I177" s="16">
        <f t="shared" si="2"/>
        <v>21.86602383</v>
      </c>
      <c r="J177" s="7" t="str">
        <f>IFERROR(__xludf.DUMMYFUNCTION("IFERROR(IF(A177="""",""ENTER STOCK"",
  LET(
    raw_high, GOOGLEFINANCE(""NSE:"" &amp; A177, ""high"", TODAY()-365, TODAY()),
    high_date, IFERROR(TO_DATE(QUERY(raw_high, ""SELECT Col1 WHERE Col2 IS NOT NULL ORDER BY Col2 DESC LIMIT 1 LABEL Col1 ''"", 1"&amp;")), TODAY()-30),
    raw_data, IFERROR(GOOGLEFINANCE(""NSE:"" &amp; A177, ""close"", high_date, TODAY()), GOOGLEFINANCE(""NSE:"" &amp; A177,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77" s="7"/>
    </row>
    <row r="178">
      <c r="A178" s="8" t="s">
        <v>189</v>
      </c>
      <c r="B178" s="9">
        <v>1.34401993147E9</v>
      </c>
      <c r="C178" s="9">
        <v>59.15</v>
      </c>
      <c r="D178" s="12" t="str">
        <f>IFERROR(__xludf.DUMMYFUNCTION("GOOGLEFINANCE(""NSE:""&amp;A178,""price"")"),"#N/A")</f>
        <v>#N/A</v>
      </c>
      <c r="E178" s="13" t="str">
        <f>IFERROR(__xludf.DUMMYFUNCTION("IFERROR(AVERAGE(QUERY(SORT(GOOGLEFINANCE(""NSE:""&amp;A178,""price"",TODAY()-75,TODAY()),1,0),""select Col2 limit 50"")), """")"),"")</f>
        <v/>
      </c>
      <c r="F178" s="13" t="str">
        <f>IFERROR(__xludf.DUMMYFUNCTION("IFERROR(AVERAGE(QUERY(SORT(GOOGLEFINANCE(""NSE:""&amp;A178,""price"",TODAY()-150,TODAY()),1,0),""select Col2 limit 100"")), """")"),"")</f>
        <v/>
      </c>
      <c r="G178" s="13" t="str">
        <f>IFERROR(__xludf.DUMMYFUNCTION("IFERROR(AVERAGE(QUERY(SORT(GOOGLEFINANCE(""NSE:""&amp;A178,""price"",TODAY()-300,TODAY()),1,0),""select Col2 limit 200"")), """")"),"")</f>
        <v/>
      </c>
      <c r="H178" s="15" t="str">
        <f t="shared" si="1"/>
        <v>#N/A</v>
      </c>
      <c r="I178" s="16" t="str">
        <f t="shared" si="2"/>
        <v>#N/A</v>
      </c>
      <c r="J178" s="7" t="str">
        <f>IFERROR(__xludf.DUMMYFUNCTION("IFERROR(IF(A178="""",""ENTER STOCK"",
  LET(
    raw_high, GOOGLEFINANCE(""NSE:"" &amp; A178, ""high"", TODAY()-365, TODAY()),
    high_date, IFERROR(TO_DATE(QUERY(raw_high, ""SELECT Col1 WHERE Col2 IS NOT NULL ORDER BY Col2 DESC LIMIT 1 LABEL Col1 ''"", 1"&amp;")), TODAY()-30),
    raw_data, IFERROR(GOOGLEFINANCE(""NSE:"" &amp; A178, ""close"", high_date, TODAY()), GOOGLEFINANCE(""NSE:"" &amp; A178,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78" s="7"/>
    </row>
    <row r="179">
      <c r="A179" s="8" t="s">
        <v>190</v>
      </c>
      <c r="B179" s="9">
        <v>1.34201503143E9</v>
      </c>
      <c r="C179" s="9">
        <v>255.35</v>
      </c>
      <c r="D179" s="12">
        <f>IFERROR(__xludf.DUMMYFUNCTION("GOOGLEFINANCE(""NSE:""&amp;A179,""price"")"),257.0)</f>
        <v>257</v>
      </c>
      <c r="E179" s="13">
        <f>IFERROR(__xludf.DUMMYFUNCTION("IFERROR(AVERAGE(QUERY(SORT(GOOGLEFINANCE(""NSE:""&amp;A179,""price"",TODAY()-75,TODAY()),1,0),""select Col2 limit 50"")), """")"),236.37199999999996)</f>
        <v>236.372</v>
      </c>
      <c r="F179" s="13">
        <f>IFERROR(__xludf.DUMMYFUNCTION("IFERROR(AVERAGE(QUERY(SORT(GOOGLEFINANCE(""NSE:""&amp;A179,""price"",TODAY()-150,TODAY()),1,0),""select Col2 limit 100"")), """")"),222.24949999999987)</f>
        <v>222.2495</v>
      </c>
      <c r="G179" s="13">
        <f>IFERROR(__xludf.DUMMYFUNCTION("IFERROR(AVERAGE(QUERY(SORT(GOOGLEFINANCE(""NSE:""&amp;A179,""price"",TODAY()-300,TODAY()),1,0),""select Col2 limit 200"")), """")"),196.41239999999988)</f>
        <v>196.4124</v>
      </c>
      <c r="H179" s="15" t="str">
        <f t="shared" si="1"/>
        <v>Unconfirmed</v>
      </c>
      <c r="I179" s="16">
        <f t="shared" si="2"/>
        <v>30.84713592</v>
      </c>
      <c r="J179" s="7" t="str">
        <f>IFERROR(__xludf.DUMMYFUNCTION("IFERROR(IF(A179="""",""ENTER STOCK"",
  LET(
    raw_high, GOOGLEFINANCE(""NSE:"" &amp; A179, ""high"", TODAY()-365, TODAY()),
    high_date, IFERROR(TO_DATE(QUERY(raw_high, ""SELECT Col1 WHERE Col2 IS NOT NULL ORDER BY Col2 DESC LIMIT 1 LABEL Col1 ''"", 1"&amp;")), TODAY()-30),
    raw_data, IFERROR(GOOGLEFINANCE(""NSE:"" &amp; A179, ""close"", high_date, TODAY()), GOOGLEFINANCE(""NSE:"" &amp; A179,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79" s="7"/>
    </row>
    <row r="180">
      <c r="A180" s="8" t="s">
        <v>191</v>
      </c>
      <c r="B180" s="9">
        <v>1.32999771245E9</v>
      </c>
      <c r="C180" s="9">
        <v>791.65</v>
      </c>
      <c r="D180" s="12">
        <f>IFERROR(__xludf.DUMMYFUNCTION("GOOGLEFINANCE(""NSE:""&amp;A180,""price"")"),790.05)</f>
        <v>790.05</v>
      </c>
      <c r="E180" s="13">
        <f>IFERROR(__xludf.DUMMYFUNCTION("IFERROR(AVERAGE(QUERY(SORT(GOOGLEFINANCE(""NSE:""&amp;A180,""price"",TODAY()-75,TODAY()),1,0),""select Col2 limit 50"")), """")"),896.927)</f>
        <v>896.927</v>
      </c>
      <c r="F180" s="13">
        <f>IFERROR(__xludf.DUMMYFUNCTION("IFERROR(AVERAGE(QUERY(SORT(GOOGLEFINANCE(""NSE:""&amp;A180,""price"",TODAY()-150,TODAY()),1,0),""select Col2 limit 100"")), """")"),794.8760000000002)</f>
        <v>794.876</v>
      </c>
      <c r="G180" s="13">
        <f>IFERROR(__xludf.DUMMYFUNCTION("IFERROR(AVERAGE(QUERY(SORT(GOOGLEFINANCE(""NSE:""&amp;A180,""price"",TODAY()-300,TODAY()),1,0),""select Col2 limit 200"")), """")"),754.7872500000005)</f>
        <v>754.78725</v>
      </c>
      <c r="H180" s="15" t="str">
        <f t="shared" si="1"/>
        <v>Unconfirmed</v>
      </c>
      <c r="I180" s="16">
        <f t="shared" si="2"/>
        <v>4.671879394</v>
      </c>
      <c r="J180" s="7" t="str">
        <f>IFERROR(__xludf.DUMMYFUNCTION("IFERROR(IF(A180="""",""ENTER STOCK"",
  LET(
    raw_high, GOOGLEFINANCE(""NSE:"" &amp; A180, ""high"", TODAY()-365, TODAY()),
    high_date, IFERROR(TO_DATE(QUERY(raw_high, ""SELECT Col1 WHERE Col2 IS NOT NULL ORDER BY Col2 DESC LIMIT 1 LABEL Col1 ''"", 1"&amp;")), TODAY()-30),
    raw_data, IFERROR(GOOGLEFINANCE(""NSE:"" &amp; A180, ""close"", high_date, TODAY()), GOOGLEFINANCE(""NSE:"" &amp; A180,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80" s="7"/>
    </row>
    <row r="181">
      <c r="A181" s="8" t="s">
        <v>192</v>
      </c>
      <c r="B181" s="9">
        <v>1.32889736428E9</v>
      </c>
      <c r="C181" s="9">
        <v>118.0</v>
      </c>
      <c r="D181" s="12">
        <f>IFERROR(__xludf.DUMMYFUNCTION("GOOGLEFINANCE(""NSE:""&amp;A181,""price"")"),117.54)</f>
        <v>117.54</v>
      </c>
      <c r="E181" s="13">
        <f>IFERROR(__xludf.DUMMYFUNCTION("IFERROR(AVERAGE(QUERY(SORT(GOOGLEFINANCE(""NSE:""&amp;A181,""price"",TODAY()-75,TODAY()),1,0),""select Col2 limit 50"")), """")"),109.26620000000003)</f>
        <v>109.2662</v>
      </c>
      <c r="F181" s="13">
        <f>IFERROR(__xludf.DUMMYFUNCTION("IFERROR(AVERAGE(QUERY(SORT(GOOGLEFINANCE(""NSE:""&amp;A181,""price"",TODAY()-150,TODAY()),1,0),""select Col2 limit 100"")), """")"),108.42729999999996)</f>
        <v>108.4273</v>
      </c>
      <c r="G181" s="13">
        <f>IFERROR(__xludf.DUMMYFUNCTION("IFERROR(AVERAGE(QUERY(SORT(GOOGLEFINANCE(""NSE:""&amp;A181,""price"",TODAY()-300,TODAY()),1,0),""select Col2 limit 200"")), """")"),115.34730000000008)</f>
        <v>115.3473</v>
      </c>
      <c r="H181" s="15" t="str">
        <f t="shared" si="1"/>
        <v>In Bull Run</v>
      </c>
      <c r="I181" s="16">
        <f t="shared" si="2"/>
        <v>1.900954769</v>
      </c>
      <c r="J181" s="7" t="str">
        <f>IFERROR(__xludf.DUMMYFUNCTION("IFERROR(IF(A181="""",""ENTER STOCK"",
  LET(
    raw_high, GOOGLEFINANCE(""NSE:"" &amp; A181, ""high"", TODAY()-365, TODAY()),
    high_date, IFERROR(TO_DATE(QUERY(raw_high, ""SELECT Col1 WHERE Col2 IS NOT NULL ORDER BY Col2 DESC LIMIT 1 LABEL Col1 ''"", 1"&amp;")), TODAY()-30),
    raw_data, IFERROR(GOOGLEFINANCE(""NSE:"" &amp; A181, ""close"", high_date, TODAY()), GOOGLEFINANCE(""NSE:"" &amp; A181,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81" s="7"/>
    </row>
    <row r="182">
      <c r="A182" s="8" t="s">
        <v>193</v>
      </c>
      <c r="B182" s="9">
        <v>1.3257003722E9</v>
      </c>
      <c r="C182" s="9">
        <v>2235.0</v>
      </c>
      <c r="D182" s="12">
        <f>IFERROR(__xludf.DUMMYFUNCTION("GOOGLEFINANCE(""NSE:""&amp;A182,""price"")"),2233.0)</f>
        <v>2233</v>
      </c>
      <c r="E182" s="13">
        <f>IFERROR(__xludf.DUMMYFUNCTION("IFERROR(AVERAGE(QUERY(SORT(GOOGLEFINANCE(""NSE:""&amp;A182,""price"",TODAY()-75,TODAY()),1,0),""select Col2 limit 50"")), """")"),2379.834000000001)</f>
        <v>2379.834</v>
      </c>
      <c r="F182" s="13">
        <f>IFERROR(__xludf.DUMMYFUNCTION("IFERROR(AVERAGE(QUERY(SORT(GOOGLEFINANCE(""NSE:""&amp;A182,""price"",TODAY()-150,TODAY()),1,0),""select Col2 limit 100"")), """")"),2341.1610000000005)</f>
        <v>2341.161</v>
      </c>
      <c r="G182" s="13">
        <f>IFERROR(__xludf.DUMMYFUNCTION("IFERROR(AVERAGE(QUERY(SORT(GOOGLEFINANCE(""NSE:""&amp;A182,""price"",TODAY()-300,TODAY()),1,0),""select Col2 limit 200"")), """")"),2238.4215000000013)</f>
        <v>2238.4215</v>
      </c>
      <c r="H182" s="15" t="str">
        <f t="shared" si="1"/>
        <v>In Bear Run</v>
      </c>
      <c r="I182" s="16">
        <f t="shared" si="2"/>
        <v>-0.2422019267</v>
      </c>
      <c r="J182" s="7" t="str">
        <f>IFERROR(__xludf.DUMMYFUNCTION("IFERROR(IF(A182="""",""ENTER STOCK"",
  LET(
    raw_high, GOOGLEFINANCE(""NSE:"" &amp; A182, ""high"", TODAY()-365, TODAY()),
    high_date, IFERROR(TO_DATE(QUERY(raw_high, ""SELECT Col1 WHERE Col2 IS NOT NULL ORDER BY Col2 DESC LIMIT 1 LABEL Col1 ''"", 1"&amp;")), TODAY()-30),
    raw_data, IFERROR(GOOGLEFINANCE(""NSE:"" &amp; A182, ""close"", high_date, TODAY()), GOOGLEFINANCE(""NSE:"" &amp; A182,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82" s="7"/>
    </row>
    <row r="183">
      <c r="A183" s="8" t="s">
        <v>194</v>
      </c>
      <c r="B183" s="9">
        <v>1.31685137895E9</v>
      </c>
      <c r="C183" s="9">
        <v>131.25</v>
      </c>
      <c r="D183" s="12">
        <f>IFERROR(__xludf.DUMMYFUNCTION("GOOGLEFINANCE(""NSE:""&amp;A183,""price"")"),131.25)</f>
        <v>131.25</v>
      </c>
      <c r="E183" s="13">
        <f>IFERROR(__xludf.DUMMYFUNCTION("IFERROR(AVERAGE(QUERY(SORT(GOOGLEFINANCE(""NSE:""&amp;A183,""price"",TODAY()-75,TODAY()),1,0),""select Col2 limit 50"")), """")"),128.92940000000002)</f>
        <v>128.9294</v>
      </c>
      <c r="F183" s="13">
        <f>IFERROR(__xludf.DUMMYFUNCTION("IFERROR(AVERAGE(QUERY(SORT(GOOGLEFINANCE(""NSE:""&amp;A183,""price"",TODAY()-150,TODAY()),1,0),""select Col2 limit 100"")), """")"),131.41500000000005)</f>
        <v>131.415</v>
      </c>
      <c r="G183" s="13">
        <f>IFERROR(__xludf.DUMMYFUNCTION("IFERROR(AVERAGE(QUERY(SORT(GOOGLEFINANCE(""NSE:""&amp;A183,""price"",TODAY()-300,TODAY()),1,0),""select Col2 limit 200"")), """")"),139.28680000000003)</f>
        <v>139.2868</v>
      </c>
      <c r="H183" s="15" t="str">
        <f t="shared" si="1"/>
        <v>Unconfirmed</v>
      </c>
      <c r="I183" s="16">
        <f t="shared" si="2"/>
        <v>-5.76996528</v>
      </c>
      <c r="J183" s="7" t="str">
        <f>IFERROR(__xludf.DUMMYFUNCTION("IFERROR(IF(A183="""",""ENTER STOCK"",
  LET(
    raw_high, GOOGLEFINANCE(""NSE:"" &amp; A183, ""high"", TODAY()-365, TODAY()),
    high_date, IFERROR(TO_DATE(QUERY(raw_high, ""SELECT Col1 WHERE Col2 IS NOT NULL ORDER BY Col2 DESC LIMIT 1 LABEL Col1 ''"", 1"&amp;")), TODAY()-30),
    raw_data, IFERROR(GOOGLEFINANCE(""NSE:"" &amp; A183, ""close"", high_date, TODAY()), GOOGLEFINANCE(""NSE:"" &amp; A183,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83" s="7"/>
    </row>
    <row r="184">
      <c r="A184" s="8" t="s">
        <v>195</v>
      </c>
      <c r="B184" s="9">
        <v>1.3155896371E9</v>
      </c>
      <c r="C184" s="9">
        <v>282.6</v>
      </c>
      <c r="D184" s="12">
        <f>IFERROR(__xludf.DUMMYFUNCTION("GOOGLEFINANCE(""NSE:""&amp;A184,""price"")"),282.4)</f>
        <v>282.4</v>
      </c>
      <c r="E184" s="13">
        <f>IFERROR(__xludf.DUMMYFUNCTION("IFERROR(AVERAGE(QUERY(SORT(GOOGLEFINANCE(""NSE:""&amp;A184,""price"",TODAY()-75,TODAY()),1,0),""select Col2 limit 50"")), """")"),278.535)</f>
        <v>278.535</v>
      </c>
      <c r="F184" s="13">
        <f>IFERROR(__xludf.DUMMYFUNCTION("IFERROR(AVERAGE(QUERY(SORT(GOOGLEFINANCE(""NSE:""&amp;A184,""price"",TODAY()-150,TODAY()),1,0),""select Col2 limit 100"")), """")"),273.7791000000001)</f>
        <v>273.7791</v>
      </c>
      <c r="G184" s="13">
        <f>IFERROR(__xludf.DUMMYFUNCTION("IFERROR(AVERAGE(QUERY(SORT(GOOGLEFINANCE(""NSE:""&amp;A184,""price"",TODAY()-300,TODAY()),1,0),""select Col2 limit 200"")), """")"),279.23005000000006)</f>
        <v>279.23005</v>
      </c>
      <c r="H184" s="15" t="str">
        <f t="shared" si="1"/>
        <v>In Bull Run</v>
      </c>
      <c r="I184" s="16">
        <f t="shared" si="2"/>
        <v>1.135246726</v>
      </c>
      <c r="J184" s="7" t="str">
        <f>IFERROR(__xludf.DUMMYFUNCTION("IFERROR(IF(A184="""",""ENTER STOCK"",
  LET(
    raw_high, GOOGLEFINANCE(""NSE:"" &amp; A184, ""high"", TODAY()-365, TODAY()),
    high_date, IFERROR(TO_DATE(QUERY(raw_high, ""SELECT Col1 WHERE Col2 IS NOT NULL ORDER BY Col2 DESC LIMIT 1 LABEL Col1 ''"", 1"&amp;")), TODAY()-30),
    raw_data, IFERROR(GOOGLEFINANCE(""NSE:"" &amp; A184, ""close"", high_date, TODAY()), GOOGLEFINANCE(""NSE:"" &amp; A184,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84" s="7"/>
    </row>
    <row r="185">
      <c r="A185" s="8" t="s">
        <v>196</v>
      </c>
      <c r="B185" s="9">
        <v>1.31308341371E9</v>
      </c>
      <c r="C185" s="9">
        <v>191.16</v>
      </c>
      <c r="D185" s="12">
        <f>IFERROR(__xludf.DUMMYFUNCTION("GOOGLEFINANCE(""NSE:""&amp;A185,""price"")"),191.2)</f>
        <v>191.2</v>
      </c>
      <c r="E185" s="13">
        <f>IFERROR(__xludf.DUMMYFUNCTION("IFERROR(AVERAGE(QUERY(SORT(GOOGLEFINANCE(""NSE:""&amp;A185,""price"",TODAY()-75,TODAY()),1,0),""select Col2 limit 50"")), """")"),183.74239999999995)</f>
        <v>183.7424</v>
      </c>
      <c r="F185" s="13">
        <f>IFERROR(__xludf.DUMMYFUNCTION("IFERROR(AVERAGE(QUERY(SORT(GOOGLEFINANCE(""NSE:""&amp;A185,""price"",TODAY()-150,TODAY()),1,0),""select Col2 limit 100"")), """")"),179.12339999999998)</f>
        <v>179.1234</v>
      </c>
      <c r="G185" s="13">
        <f>IFERROR(__xludf.DUMMYFUNCTION("IFERROR(AVERAGE(QUERY(SORT(GOOGLEFINANCE(""NSE:""&amp;A185,""price"",TODAY()-300,TODAY()),1,0),""select Col2 limit 200"")), """")"),174.00269461077855)</f>
        <v>174.0026946</v>
      </c>
      <c r="H185" s="15" t="str">
        <f t="shared" si="1"/>
        <v>In Bull Run</v>
      </c>
      <c r="I185" s="16">
        <f t="shared" si="2"/>
        <v>9.883355788</v>
      </c>
      <c r="J185" s="7" t="str">
        <f>IFERROR(__xludf.DUMMYFUNCTION("IFERROR(IF(A185="""",""ENTER STOCK"",
  LET(
    raw_high, GOOGLEFINANCE(""NSE:"" &amp; A185, ""high"", TODAY()-365, TODAY()),
    high_date, IFERROR(TO_DATE(QUERY(raw_high, ""SELECT Col1 WHERE Col2 IS NOT NULL ORDER BY Col2 DESC LIMIT 1 LABEL Col1 ''"", 1"&amp;")), TODAY()-30),
    raw_data, IFERROR(GOOGLEFINANCE(""NSE:"" &amp; A185, ""close"", high_date, TODAY()), GOOGLEFINANCE(""NSE:"" &amp; A185,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85" s="7"/>
    </row>
    <row r="186">
      <c r="A186" s="8" t="s">
        <v>197</v>
      </c>
      <c r="B186" s="9">
        <v>1.3105073777E9</v>
      </c>
      <c r="C186" s="9">
        <v>1741.0</v>
      </c>
      <c r="D186" s="12">
        <f>IFERROR(__xludf.DUMMYFUNCTION("GOOGLEFINANCE(""NSE:""&amp;A186,""price"")"),1741.0)</f>
        <v>1741</v>
      </c>
      <c r="E186" s="13">
        <f>IFERROR(__xludf.DUMMYFUNCTION("IFERROR(AVERAGE(QUERY(SORT(GOOGLEFINANCE(""NSE:""&amp;A186,""price"",TODAY()-75,TODAY()),1,0),""select Col2 limit 50"")), """")"),1601.6920000000005)</f>
        <v>1601.692</v>
      </c>
      <c r="F186" s="13">
        <f>IFERROR(__xludf.DUMMYFUNCTION("IFERROR(AVERAGE(QUERY(SORT(GOOGLEFINANCE(""NSE:""&amp;A186,""price"",TODAY()-150,TODAY()),1,0),""select Col2 limit 100"")), """")"),1607.3880000000001)</f>
        <v>1607.388</v>
      </c>
      <c r="G186" s="13">
        <f>IFERROR(__xludf.DUMMYFUNCTION("IFERROR(AVERAGE(QUERY(SORT(GOOGLEFINANCE(""NSE:""&amp;A186,""price"",TODAY()-300,TODAY()),1,0),""select Col2 limit 200"")), """")"),1650.4805)</f>
        <v>1650.4805</v>
      </c>
      <c r="H186" s="15" t="str">
        <f t="shared" si="1"/>
        <v>In Bull Run</v>
      </c>
      <c r="I186" s="16">
        <f t="shared" si="2"/>
        <v>5.48443317</v>
      </c>
      <c r="J186" s="7" t="str">
        <f>IFERROR(__xludf.DUMMYFUNCTION("IFERROR(IF(A186="""",""ENTER STOCK"",
  LET(
    raw_high, GOOGLEFINANCE(""NSE:"" &amp; A186, ""high"", TODAY()-365, TODAY()),
    high_date, IFERROR(TO_DATE(QUERY(raw_high, ""SELECT Col1 WHERE Col2 IS NOT NULL ORDER BY Col2 DESC LIMIT 1 LABEL Col1 ''"", 1"&amp;")), TODAY()-30),
    raw_data, IFERROR(GOOGLEFINANCE(""NSE:"" &amp; A186, ""close"", high_date, TODAY()), GOOGLEFINANCE(""NSE:"" &amp; A186,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86" s="7"/>
    </row>
    <row r="187">
      <c r="A187" s="8" t="s">
        <v>198</v>
      </c>
      <c r="B187" s="9">
        <v>1.29942323095E9</v>
      </c>
      <c r="C187" s="9">
        <v>349.0</v>
      </c>
      <c r="D187" s="12">
        <f>IFERROR(__xludf.DUMMYFUNCTION("GOOGLEFINANCE(""NSE:""&amp;A187,""price"")"),348.9)</f>
        <v>348.9</v>
      </c>
      <c r="E187" s="13">
        <f>IFERROR(__xludf.DUMMYFUNCTION("IFERROR(AVERAGE(QUERY(SORT(GOOGLEFINANCE(""NSE:""&amp;A187,""price"",TODAY()-75,TODAY()),1,0),""select Col2 limit 50"")), """")"),335.798)</f>
        <v>335.798</v>
      </c>
      <c r="F187" s="13">
        <f>IFERROR(__xludf.DUMMYFUNCTION("IFERROR(AVERAGE(QUERY(SORT(GOOGLEFINANCE(""NSE:""&amp;A187,""price"",TODAY()-150,TODAY()),1,0),""select Col2 limit 100"")), """")"),313.1545)</f>
        <v>313.1545</v>
      </c>
      <c r="G187" s="13">
        <f>IFERROR(__xludf.DUMMYFUNCTION("IFERROR(AVERAGE(QUERY(SORT(GOOGLEFINANCE(""NSE:""&amp;A187,""price"",TODAY()-300,TODAY()),1,0),""select Col2 limit 200"")), """")"),300.52350000000007)</f>
        <v>300.5235</v>
      </c>
      <c r="H187" s="15" t="str">
        <f t="shared" si="1"/>
        <v>Unconfirmed</v>
      </c>
      <c r="I187" s="16">
        <f t="shared" si="2"/>
        <v>16.09741002</v>
      </c>
      <c r="J187" s="7" t="str">
        <f>IFERROR(__xludf.DUMMYFUNCTION("IFERROR(IF(A187="""",""ENTER STOCK"",
  LET(
    raw_high, GOOGLEFINANCE(""NSE:"" &amp; A187, ""high"", TODAY()-365, TODAY()),
    high_date, IFERROR(TO_DATE(QUERY(raw_high, ""SELECT Col1 WHERE Col2 IS NOT NULL ORDER BY Col2 DESC LIMIT 1 LABEL Col1 ''"", 1"&amp;")), TODAY()-30),
    raw_data, IFERROR(GOOGLEFINANCE(""NSE:"" &amp; A187, ""close"", high_date, TODAY()), GOOGLEFINANCE(""NSE:"" &amp; A187,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87" s="7"/>
    </row>
    <row r="188">
      <c r="A188" s="8" t="s">
        <v>199</v>
      </c>
      <c r="B188" s="9">
        <v>1.29628492573E9</v>
      </c>
      <c r="C188" s="9">
        <v>164.86</v>
      </c>
      <c r="D188" s="12">
        <f>IFERROR(__xludf.DUMMYFUNCTION("GOOGLEFINANCE(""NSE:""&amp;A188,""price"")"),165.56)</f>
        <v>165.56</v>
      </c>
      <c r="E188" s="13">
        <f>IFERROR(__xludf.DUMMYFUNCTION("IFERROR(AVERAGE(QUERY(SORT(GOOGLEFINANCE(""NSE:""&amp;A188,""price"",TODAY()-75,TODAY()),1,0),""select Col2 limit 50"")), """")"),152.41960000000006)</f>
        <v>152.4196</v>
      </c>
      <c r="F188" s="13">
        <f>IFERROR(__xludf.DUMMYFUNCTION("IFERROR(AVERAGE(QUERY(SORT(GOOGLEFINANCE(""NSE:""&amp;A188,""price"",TODAY()-150,TODAY()),1,0),""select Col2 limit 100"")), """")"),161.60420000000002)</f>
        <v>161.6042</v>
      </c>
      <c r="G188" s="13">
        <f>IFERROR(__xludf.DUMMYFUNCTION("IFERROR(AVERAGE(QUERY(SORT(GOOGLEFINANCE(""NSE:""&amp;A188,""price"",TODAY()-300,TODAY()),1,0),""select Col2 limit 200"")), """")"),188.63232432432437)</f>
        <v>188.6323243</v>
      </c>
      <c r="H188" s="15" t="str">
        <f t="shared" si="1"/>
        <v>Unconfirmed</v>
      </c>
      <c r="I188" s="16">
        <f t="shared" si="2"/>
        <v>-12.2313736</v>
      </c>
      <c r="J188" s="7" t="str">
        <f>IFERROR(__xludf.DUMMYFUNCTION("IFERROR(IF(A188="""",""ENTER STOCK"",
  LET(
    raw_high, GOOGLEFINANCE(""NSE:"" &amp; A188, ""high"", TODAY()-365, TODAY()),
    high_date, IFERROR(TO_DATE(QUERY(raw_high, ""SELECT Col1 WHERE Col2 IS NOT NULL ORDER BY Col2 DESC LIMIT 1 LABEL Col1 ''"", 1"&amp;")), TODAY()-30),
    raw_data, IFERROR(GOOGLEFINANCE(""NSE:"" &amp; A188, ""close"", high_date, TODAY()), GOOGLEFINANCE(""NSE:"" &amp; A188,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88" s="7"/>
    </row>
    <row r="189">
      <c r="A189" s="8" t="s">
        <v>200</v>
      </c>
      <c r="B189" s="9">
        <v>1.28864737097E9</v>
      </c>
      <c r="C189" s="9">
        <v>139.4</v>
      </c>
      <c r="D189" s="12">
        <f>IFERROR(__xludf.DUMMYFUNCTION("GOOGLEFINANCE(""NSE:""&amp;A189,""price"")"),139.5)</f>
        <v>139.5</v>
      </c>
      <c r="E189" s="13">
        <f>IFERROR(__xludf.DUMMYFUNCTION("IFERROR(AVERAGE(QUERY(SORT(GOOGLEFINANCE(""NSE:""&amp;A189,""price"",TODAY()-75,TODAY()),1,0),""select Col2 limit 50"")), """")"),141.10700000000003)</f>
        <v>141.107</v>
      </c>
      <c r="F189" s="13">
        <f>IFERROR(__xludf.DUMMYFUNCTION("IFERROR(AVERAGE(QUERY(SORT(GOOGLEFINANCE(""NSE:""&amp;A189,""price"",TODAY()-150,TODAY()),1,0),""select Col2 limit 100"")), """")"),141.124)</f>
        <v>141.124</v>
      </c>
      <c r="G189" s="13">
        <f>IFERROR(__xludf.DUMMYFUNCTION("IFERROR(AVERAGE(QUERY(SORT(GOOGLEFINANCE(""NSE:""&amp;A189,""price"",TODAY()-300,TODAY()),1,0),""select Col2 limit 200"")), """")"),153.50149999999996)</f>
        <v>153.5015</v>
      </c>
      <c r="H189" s="15" t="str">
        <f t="shared" si="1"/>
        <v>In Bear Run</v>
      </c>
      <c r="I189" s="16">
        <f t="shared" si="2"/>
        <v>-9.121409237</v>
      </c>
      <c r="J189" s="7" t="str">
        <f>IFERROR(__xludf.DUMMYFUNCTION("IFERROR(IF(A189="""",""ENTER STOCK"",
  LET(
    raw_high, GOOGLEFINANCE(""NSE:"" &amp; A189, ""high"", TODAY()-365, TODAY()),
    high_date, IFERROR(TO_DATE(QUERY(raw_high, ""SELECT Col1 WHERE Col2 IS NOT NULL ORDER BY Col2 DESC LIMIT 1 LABEL Col1 ''"", 1"&amp;")), TODAY()-30),
    raw_data, IFERROR(GOOGLEFINANCE(""NSE:"" &amp; A189, ""close"", high_date, TODAY()), GOOGLEFINANCE(""NSE:"" &amp; A189,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89" s="7"/>
    </row>
    <row r="190">
      <c r="A190" s="8" t="s">
        <v>201</v>
      </c>
      <c r="B190" s="9">
        <v>1.28685489261E9</v>
      </c>
      <c r="C190" s="9">
        <v>38.73</v>
      </c>
      <c r="D190" s="12">
        <f>IFERROR(__xludf.DUMMYFUNCTION("GOOGLEFINANCE(""NSE:""&amp;A190,""price"")"),38.58)</f>
        <v>38.58</v>
      </c>
      <c r="E190" s="13">
        <f>IFERROR(__xludf.DUMMYFUNCTION("IFERROR(AVERAGE(QUERY(SORT(GOOGLEFINANCE(""NSE:""&amp;A190,""price"",TODAY()-75,TODAY()),1,0),""select Col2 limit 50"")), """")"),41.2668)</f>
        <v>41.2668</v>
      </c>
      <c r="F190" s="13">
        <f>IFERROR(__xludf.DUMMYFUNCTION("IFERROR(AVERAGE(QUERY(SORT(GOOGLEFINANCE(""NSE:""&amp;A190,""price"",TODAY()-150,TODAY()),1,0),""select Col2 limit 100"")), """")"),37.980799999999995)</f>
        <v>37.9808</v>
      </c>
      <c r="G190" s="13">
        <f>IFERROR(__xludf.DUMMYFUNCTION("IFERROR(AVERAGE(QUERY(SORT(GOOGLEFINANCE(""NSE:""&amp;A190,""price"",TODAY()-300,TODAY()),1,0),""select Col2 limit 200"")), """")"),36.88334999999999)</f>
        <v>36.88335</v>
      </c>
      <c r="H190" s="15" t="str">
        <f t="shared" si="1"/>
        <v>Unconfirmed</v>
      </c>
      <c r="I190" s="16">
        <f t="shared" si="2"/>
        <v>4.600043109</v>
      </c>
      <c r="J190" s="7" t="str">
        <f>IFERROR(__xludf.DUMMYFUNCTION("IFERROR(IF(A190="""",""ENTER STOCK"",
  LET(
    raw_high, GOOGLEFINANCE(""NSE:"" &amp; A190, ""high"", TODAY()-365, TODAY()),
    high_date, IFERROR(TO_DATE(QUERY(raw_high, ""SELECT Col1 WHERE Col2 IS NOT NULL ORDER BY Col2 DESC LIMIT 1 LABEL Col1 ''"", 1"&amp;")), TODAY()-30),
    raw_data, IFERROR(GOOGLEFINANCE(""NSE:"" &amp; A190, ""close"", high_date, TODAY()), GOOGLEFINANCE(""NSE:"" &amp; A190,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90" s="7"/>
    </row>
    <row r="191">
      <c r="A191" s="8" t="s">
        <v>202</v>
      </c>
      <c r="B191" s="9">
        <v>1.26840842E9</v>
      </c>
      <c r="C191" s="9">
        <v>24795.0</v>
      </c>
      <c r="D191" s="12">
        <f>IFERROR(__xludf.DUMMYFUNCTION("GOOGLEFINANCE(""NSE:""&amp;A191,""price"")"),24700.0)</f>
        <v>24700</v>
      </c>
      <c r="E191" s="13">
        <f>IFERROR(__xludf.DUMMYFUNCTION("IFERROR(AVERAGE(QUERY(SORT(GOOGLEFINANCE(""NSE:""&amp;A191,""price"",TODAY()-75,TODAY()),1,0),""select Col2 limit 50"")), """")"),25841.4)</f>
        <v>25841.4</v>
      </c>
      <c r="F191" s="13">
        <f>IFERROR(__xludf.DUMMYFUNCTION("IFERROR(AVERAGE(QUERY(SORT(GOOGLEFINANCE(""NSE:""&amp;A191,""price"",TODAY()-150,TODAY()),1,0),""select Col2 limit 100"")), """")"),25215.65)</f>
        <v>25215.65</v>
      </c>
      <c r="G191" s="13">
        <f>IFERROR(__xludf.DUMMYFUNCTION("IFERROR(AVERAGE(QUERY(SORT(GOOGLEFINANCE(""NSE:""&amp;A191,""price"",TODAY()-300,TODAY()),1,0),""select Col2 limit 200"")), """")"),25890.875)</f>
        <v>25890.875</v>
      </c>
      <c r="H191" s="15" t="str">
        <f t="shared" si="1"/>
        <v>In Bear Run</v>
      </c>
      <c r="I191" s="16">
        <f t="shared" si="2"/>
        <v>-4.599593486</v>
      </c>
      <c r="J191" s="7" t="str">
        <f>IFERROR(__xludf.DUMMYFUNCTION("IFERROR(IF(A191="""",""ENTER STOCK"",
  LET(
    raw_high, GOOGLEFINANCE(""NSE:"" &amp; A191, ""high"", TODAY()-365, TODAY()),
    high_date, IFERROR(TO_DATE(QUERY(raw_high, ""SELECT Col1 WHERE Col2 IS NOT NULL ORDER BY Col2 DESC LIMIT 1 LABEL Col1 ''"", 1"&amp;")), TODAY()-30),
    raw_data, IFERROR(GOOGLEFINANCE(""NSE:"" &amp; A191, ""close"", high_date, TODAY()), GOOGLEFINANCE(""NSE:"" &amp; A191,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91" s="7"/>
    </row>
    <row r="192">
      <c r="A192" s="8" t="s">
        <v>203</v>
      </c>
      <c r="B192" s="9">
        <v>1.2582410955E9</v>
      </c>
      <c r="C192" s="9">
        <v>7649.0</v>
      </c>
      <c r="D192" s="12">
        <f>IFERROR(__xludf.DUMMYFUNCTION("GOOGLEFINANCE(""NSE:""&amp;A192,""price"")"),7650.0)</f>
        <v>7650</v>
      </c>
      <c r="E192" s="13">
        <f>IFERROR(__xludf.DUMMYFUNCTION("IFERROR(AVERAGE(QUERY(SORT(GOOGLEFINANCE(""NSE:""&amp;A192,""price"",TODAY()-75,TODAY()),1,0),""select Col2 limit 50"")), """")"),7226.88)</f>
        <v>7226.88</v>
      </c>
      <c r="F192" s="13">
        <f>IFERROR(__xludf.DUMMYFUNCTION("IFERROR(AVERAGE(QUERY(SORT(GOOGLEFINANCE(""NSE:""&amp;A192,""price"",TODAY()-150,TODAY()),1,0),""select Col2 limit 100"")), """")"),6997.25)</f>
        <v>6997.25</v>
      </c>
      <c r="G192" s="13">
        <f>IFERROR(__xludf.DUMMYFUNCTION("IFERROR(AVERAGE(QUERY(SORT(GOOGLEFINANCE(""NSE:""&amp;A192,""price"",TODAY()-300,TODAY()),1,0),""select Col2 limit 200"")), """")"),6192.9125)</f>
        <v>6192.9125</v>
      </c>
      <c r="H192" s="15" t="str">
        <f t="shared" si="1"/>
        <v>Unconfirmed</v>
      </c>
      <c r="I192" s="16">
        <f t="shared" si="2"/>
        <v>23.52830756</v>
      </c>
      <c r="J192" s="7" t="str">
        <f>IFERROR(__xludf.DUMMYFUNCTION("IFERROR(IF(A192="""",""ENTER STOCK"",
  LET(
    raw_high, GOOGLEFINANCE(""NSE:"" &amp; A192, ""high"", TODAY()-365, TODAY()),
    high_date, IFERROR(TO_DATE(QUERY(raw_high, ""SELECT Col1 WHERE Col2 IS NOT NULL ORDER BY Col2 DESC LIMIT 1 LABEL Col1 ''"", 1"&amp;")), TODAY()-30),
    raw_data, IFERROR(GOOGLEFINANCE(""NSE:"" &amp; A192, ""close"", high_date, TODAY()), GOOGLEFINANCE(""NSE:"" &amp; A192,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92" s="7"/>
    </row>
    <row r="193">
      <c r="A193" s="8" t="s">
        <v>204</v>
      </c>
      <c r="B193" s="9">
        <v>1.24797886953E9</v>
      </c>
      <c r="C193" s="9">
        <v>117.44</v>
      </c>
      <c r="D193" s="12">
        <f>IFERROR(__xludf.DUMMYFUNCTION("GOOGLEFINANCE(""NSE:""&amp;A193,""price"")"),116.85)</f>
        <v>116.85</v>
      </c>
      <c r="E193" s="13">
        <f>IFERROR(__xludf.DUMMYFUNCTION("IFERROR(AVERAGE(QUERY(SORT(GOOGLEFINANCE(""NSE:""&amp;A193,""price"",TODAY()-75,TODAY()),1,0),""select Col2 limit 50"")), """")"),87.2588)</f>
        <v>87.2588</v>
      </c>
      <c r="F193" s="13">
        <f>IFERROR(__xludf.DUMMYFUNCTION("IFERROR(AVERAGE(QUERY(SORT(GOOGLEFINANCE(""NSE:""&amp;A193,""price"",TODAY()-150,TODAY()),1,0),""select Col2 limit 100"")), """")"),79.67020000000001)</f>
        <v>79.6702</v>
      </c>
      <c r="G193" s="13">
        <f>IFERROR(__xludf.DUMMYFUNCTION("IFERROR(AVERAGE(QUERY(SORT(GOOGLEFINANCE(""NSE:""&amp;A193,""price"",TODAY()-300,TODAY()),1,0),""select Col2 limit 200"")), """")"),73.54415000000003)</f>
        <v>73.54415</v>
      </c>
      <c r="H193" s="15" t="str">
        <f t="shared" si="1"/>
        <v>Unconfirmed</v>
      </c>
      <c r="I193" s="16">
        <f t="shared" si="2"/>
        <v>58.88415326</v>
      </c>
      <c r="J193" s="7" t="str">
        <f>IFERROR(__xludf.DUMMYFUNCTION("IFERROR(IF(A193="""",""ENTER STOCK"",
  LET(
    raw_high, GOOGLEFINANCE(""NSE:"" &amp; A193, ""high"", TODAY()-365, TODAY()),
    high_date, IFERROR(TO_DATE(QUERY(raw_high, ""SELECT Col1 WHERE Col2 IS NOT NULL ORDER BY Col2 DESC LIMIT 1 LABEL Col1 ''"", 1"&amp;")), TODAY()-30),
    raw_data, IFERROR(GOOGLEFINANCE(""NSE:"" &amp; A193, ""close"", high_date, TODAY()), GOOGLEFINANCE(""NSE:"" &amp; A193,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93" s="7"/>
    </row>
    <row r="194">
      <c r="A194" s="8" t="s">
        <v>205</v>
      </c>
      <c r="B194" s="9">
        <v>1.2376674794E9</v>
      </c>
      <c r="C194" s="9">
        <v>1270.0</v>
      </c>
      <c r="D194" s="12">
        <f>IFERROR(__xludf.DUMMYFUNCTION("GOOGLEFINANCE(""NSE:""&amp;A194,""price"")"),1267.0)</f>
        <v>1267</v>
      </c>
      <c r="E194" s="13">
        <f>IFERROR(__xludf.DUMMYFUNCTION("IFERROR(AVERAGE(QUERY(SORT(GOOGLEFINANCE(""NSE:""&amp;A194,""price"",TODAY()-75,TODAY()),1,0),""select Col2 limit 50"")), """")"),1261.5819999999999)</f>
        <v>1261.582</v>
      </c>
      <c r="F194" s="13">
        <f>IFERROR(__xludf.DUMMYFUNCTION("IFERROR(AVERAGE(QUERY(SORT(GOOGLEFINANCE(""NSE:""&amp;A194,""price"",TODAY()-150,TODAY()),1,0),""select Col2 limit 100"")), """")"),1250.759)</f>
        <v>1250.759</v>
      </c>
      <c r="G194" s="13">
        <f>IFERROR(__xludf.DUMMYFUNCTION("IFERROR(AVERAGE(QUERY(SORT(GOOGLEFINANCE(""NSE:""&amp;A194,""price"",TODAY()-300,TODAY()),1,0),""select Col2 limit 200"")), """")"),1214.4279999999997)</f>
        <v>1214.428</v>
      </c>
      <c r="H194" s="15" t="str">
        <f t="shared" si="1"/>
        <v>In Bull Run</v>
      </c>
      <c r="I194" s="16">
        <f t="shared" si="2"/>
        <v>4.328951572</v>
      </c>
      <c r="J194" s="7" t="str">
        <f>IFERROR(__xludf.DUMMYFUNCTION("IFERROR(IF(A194="""",""ENTER STOCK"",
  LET(
    raw_high, GOOGLEFINANCE(""NSE:"" &amp; A194, ""high"", TODAY()-365, TODAY()),
    high_date, IFERROR(TO_DATE(QUERY(raw_high, ""SELECT Col1 WHERE Col2 IS NOT NULL ORDER BY Col2 DESC LIMIT 1 LABEL Col1 ''"", 1"&amp;")), TODAY()-30),
    raw_data, IFERROR(GOOGLEFINANCE(""NSE:"" &amp; A194, ""close"", high_date, TODAY()), GOOGLEFINANCE(""NSE:"" &amp; A194,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94" s="7"/>
    </row>
    <row r="195">
      <c r="A195" s="8" t="s">
        <v>206</v>
      </c>
      <c r="B195" s="9">
        <v>1.2350821111E9</v>
      </c>
      <c r="C195" s="9">
        <v>2083.3</v>
      </c>
      <c r="D195" s="12">
        <f>IFERROR(__xludf.DUMMYFUNCTION("GOOGLEFINANCE(""NSE:""&amp;A195,""price"")"),2084.0)</f>
        <v>2084</v>
      </c>
      <c r="E195" s="13">
        <f>IFERROR(__xludf.DUMMYFUNCTION("IFERROR(AVERAGE(QUERY(SORT(GOOGLEFINANCE(""NSE:""&amp;A195,""price"",TODAY()-75,TODAY()),1,0),""select Col2 limit 50"")), """")"),1853.6180000000002)</f>
        <v>1853.618</v>
      </c>
      <c r="F195" s="13">
        <f>IFERROR(__xludf.DUMMYFUNCTION("IFERROR(AVERAGE(QUERY(SORT(GOOGLEFINANCE(""NSE:""&amp;A195,""price"",TODAY()-150,TODAY()),1,0),""select Col2 limit 100"")), """")"),1896.3800000000006)</f>
        <v>1896.38</v>
      </c>
      <c r="G195" s="13">
        <f>IFERROR(__xludf.DUMMYFUNCTION("IFERROR(AVERAGE(QUERY(SORT(GOOGLEFINANCE(""NSE:""&amp;A195,""price"",TODAY()-300,TODAY()),1,0),""select Col2 limit 200"")), """")"),1914.9215000000006)</f>
        <v>1914.9215</v>
      </c>
      <c r="H195" s="15" t="str">
        <f t="shared" si="1"/>
        <v>In Bull Run</v>
      </c>
      <c r="I195" s="16">
        <f t="shared" si="2"/>
        <v>8.829526432</v>
      </c>
      <c r="J195" s="7" t="str">
        <f>IFERROR(__xludf.DUMMYFUNCTION("IFERROR(IF(A195="""",""ENTER STOCK"",
  LET(
    raw_high, GOOGLEFINANCE(""NSE:"" &amp; A195, ""high"", TODAY()-365, TODAY()),
    high_date, IFERROR(TO_DATE(QUERY(raw_high, ""SELECT Col1 WHERE Col2 IS NOT NULL ORDER BY Col2 DESC LIMIT 1 LABEL Col1 ''"", 1"&amp;")), TODAY()-30),
    raw_data, IFERROR(GOOGLEFINANCE(""NSE:"" &amp; A195, ""close"", high_date, TODAY()), GOOGLEFINANCE(""NSE:"" &amp; A195,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95" s="7"/>
    </row>
    <row r="196">
      <c r="A196" s="8" t="s">
        <v>207</v>
      </c>
      <c r="B196" s="9">
        <v>1.23060973166E9</v>
      </c>
      <c r="C196" s="9">
        <v>99.08</v>
      </c>
      <c r="D196" s="12">
        <f>IFERROR(__xludf.DUMMYFUNCTION("GOOGLEFINANCE(""NSE:""&amp;A196,""price"")"),99.07)</f>
        <v>99.07</v>
      </c>
      <c r="E196" s="13">
        <f>IFERROR(__xludf.DUMMYFUNCTION("IFERROR(AVERAGE(QUERY(SORT(GOOGLEFINANCE(""NSE:""&amp;A196,""price"",TODAY()-75,TODAY()),1,0),""select Col2 limit 50"")), """")"),75.03479999999999)</f>
        <v>75.0348</v>
      </c>
      <c r="F196" s="13">
        <f>IFERROR(__xludf.DUMMYFUNCTION("IFERROR(AVERAGE(QUERY(SORT(GOOGLEFINANCE(""NSE:""&amp;A196,""price"",TODAY()-150,TODAY()),1,0),""select Col2 limit 100"")), """")"),69.8394)</f>
        <v>69.8394</v>
      </c>
      <c r="G196" s="13">
        <f>IFERROR(__xludf.DUMMYFUNCTION("IFERROR(AVERAGE(QUERY(SORT(GOOGLEFINANCE(""NSE:""&amp;A196,""price"",TODAY()-300,TODAY()),1,0),""select Col2 limit 200"")), """")"),67.15845000000002)</f>
        <v>67.15845</v>
      </c>
      <c r="H196" s="15" t="str">
        <f t="shared" si="1"/>
        <v>Unconfirmed</v>
      </c>
      <c r="I196" s="16">
        <f t="shared" si="2"/>
        <v>47.51680541</v>
      </c>
      <c r="J196" s="7" t="str">
        <f>IFERROR(__xludf.DUMMYFUNCTION("IFERROR(IF(A196="""",""ENTER STOCK"",
  LET(
    raw_high, GOOGLEFINANCE(""NSE:"" &amp; A196, ""high"", TODAY()-365, TODAY()),
    high_date, IFERROR(TO_DATE(QUERY(raw_high, ""SELECT Col1 WHERE Col2 IS NOT NULL ORDER BY Col2 DESC LIMIT 1 LABEL Col1 ''"", 1"&amp;")), TODAY()-30),
    raw_data, IFERROR(GOOGLEFINANCE(""NSE:"" &amp; A196, ""close"", high_date, TODAY()), GOOGLEFINANCE(""NSE:"" &amp; A196,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196" s="7"/>
    </row>
    <row r="197">
      <c r="A197" s="8" t="s">
        <v>208</v>
      </c>
      <c r="B197" s="9">
        <v>1.22285768588E9</v>
      </c>
      <c r="C197" s="9">
        <v>47.1</v>
      </c>
      <c r="D197" s="12">
        <f>IFERROR(__xludf.DUMMYFUNCTION("GOOGLEFINANCE(""NSE:""&amp;A197,""price"")"),47.2)</f>
        <v>47.2</v>
      </c>
      <c r="E197" s="13">
        <f>IFERROR(__xludf.DUMMYFUNCTION("IFERROR(AVERAGE(QUERY(SORT(GOOGLEFINANCE(""NSE:""&amp;A197,""price"",TODAY()-75,TODAY()),1,0),""select Col2 limit 50"")), """")"),53.152600000000014)</f>
        <v>53.1526</v>
      </c>
      <c r="F197" s="13">
        <f>IFERROR(__xludf.DUMMYFUNCTION("IFERROR(AVERAGE(QUERY(SORT(GOOGLEFINANCE(""NSE:""&amp;A197,""price"",TODAY()-150,TODAY()),1,0),""select Col2 limit 100"")), """")"),51.82629999999998)</f>
        <v>51.8263</v>
      </c>
      <c r="G197" s="13">
        <f>IFERROR(__xludf.DUMMYFUNCTION("IFERROR(AVERAGE(QUERY(SORT(GOOGLEFINANCE(""NSE:""&amp;A197,""price"",TODAY()-300,TODAY()),1,0),""select Col2 limit 200"")), """")"),51.06625)</f>
        <v>51.06625</v>
      </c>
      <c r="H197" s="15" t="str">
        <f t="shared" si="1"/>
        <v>In Bear Run</v>
      </c>
      <c r="I197" s="16">
        <f t="shared" si="2"/>
        <v>-7.571047414</v>
      </c>
      <c r="J197" s="7" t="str">
        <f>IFERROR(__xludf.DUMMYFUNCTION("IFERROR(IF(A197="""",""ENTER STOCK"",
  LET(
    raw_high, GOOGLEFINANCE(""NSE:"" &amp; A197, ""high"", TODAY()-365, TODAY()),
    high_date, IFERROR(TO_DATE(QUERY(raw_high, ""SELECT Col1 WHERE Col2 IS NOT NULL ORDER BY Col2 DESC LIMIT 1 LABEL Col1 ''"", 1"&amp;")), TODAY()-30),
    raw_data, IFERROR(GOOGLEFINANCE(""NSE:"" &amp; A197, ""close"", high_date, TODAY()), GOOGLEFINANCE(""NSE:"" &amp; A197,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97" s="7"/>
    </row>
    <row r="198">
      <c r="A198" s="8" t="s">
        <v>209</v>
      </c>
      <c r="B198" s="9">
        <v>1.2033531919E9</v>
      </c>
      <c r="C198" s="9">
        <v>72.47</v>
      </c>
      <c r="D198" s="12">
        <f>IFERROR(__xludf.DUMMYFUNCTION("GOOGLEFINANCE(""NSE:""&amp;A198,""price"")"),72.46)</f>
        <v>72.46</v>
      </c>
      <c r="E198" s="13">
        <f>IFERROR(__xludf.DUMMYFUNCTION("IFERROR(AVERAGE(QUERY(SORT(GOOGLEFINANCE(""NSE:""&amp;A198,""price"",TODAY()-75,TODAY()),1,0),""select Col2 limit 50"")), """")"),63.36379999999998)</f>
        <v>63.3638</v>
      </c>
      <c r="F198" s="13">
        <f>IFERROR(__xludf.DUMMYFUNCTION("IFERROR(AVERAGE(QUERY(SORT(GOOGLEFINANCE(""NSE:""&amp;A198,""price"",TODAY()-150,TODAY()),1,0),""select Col2 limit 100"")), """")"),59.84349999999998)</f>
        <v>59.8435</v>
      </c>
      <c r="G198" s="13">
        <f>IFERROR(__xludf.DUMMYFUNCTION("IFERROR(AVERAGE(QUERY(SORT(GOOGLEFINANCE(""NSE:""&amp;A198,""price"",TODAY()-300,TODAY()),1,0),""select Col2 limit 200"")), """")"),58.108149999999966)</f>
        <v>58.10815</v>
      </c>
      <c r="H198" s="15" t="str">
        <f t="shared" si="1"/>
        <v>Unconfirmed</v>
      </c>
      <c r="I198" s="16">
        <f t="shared" si="2"/>
        <v>24.69851475</v>
      </c>
      <c r="J198" s="7" t="str">
        <f>IFERROR(__xludf.DUMMYFUNCTION("IFERROR(IF(A198="""",""ENTER STOCK"",
  LET(
    raw_high, GOOGLEFINANCE(""NSE:"" &amp; A198, ""high"", TODAY()-365, TODAY()),
    high_date, IFERROR(TO_DATE(QUERY(raw_high, ""SELECT Col1 WHERE Col2 IS NOT NULL ORDER BY Col2 DESC LIMIT 1 LABEL Col1 ''"", 1"&amp;")), TODAY()-30),
    raw_data, IFERROR(GOOGLEFINANCE(""NSE:"" &amp; A198, ""close"", high_date, TODAY()), GOOGLEFINANCE(""NSE:"" &amp; A198,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198" s="7"/>
    </row>
    <row r="199">
      <c r="A199" s="8" t="s">
        <v>210</v>
      </c>
      <c r="B199" s="9">
        <v>1.1961870168E9</v>
      </c>
      <c r="C199" s="9">
        <v>1316.9</v>
      </c>
      <c r="D199" s="12">
        <f>IFERROR(__xludf.DUMMYFUNCTION("GOOGLEFINANCE(""NSE:""&amp;A199,""price"")"),1315.0)</f>
        <v>1315</v>
      </c>
      <c r="E199" s="13">
        <f>IFERROR(__xludf.DUMMYFUNCTION("IFERROR(AVERAGE(QUERY(SORT(GOOGLEFINANCE(""NSE:""&amp;A199,""price"",TODAY()-75,TODAY()),1,0),""select Col2 limit 50"")), """")"),1382.09)</f>
        <v>1382.09</v>
      </c>
      <c r="F199" s="13">
        <f>IFERROR(__xludf.DUMMYFUNCTION("IFERROR(AVERAGE(QUERY(SORT(GOOGLEFINANCE(""NSE:""&amp;A199,""price"",TODAY()-150,TODAY()),1,0),""select Col2 limit 100"")), """")"),1287.1375)</f>
        <v>1287.1375</v>
      </c>
      <c r="G199" s="13">
        <f>IFERROR(__xludf.DUMMYFUNCTION("IFERROR(AVERAGE(QUERY(SORT(GOOGLEFINANCE(""NSE:""&amp;A199,""price"",TODAY()-300,TODAY()),1,0),""select Col2 limit 200"")), """")"),1230.1557499999994)</f>
        <v>1230.15575</v>
      </c>
      <c r="H199" s="15" t="str">
        <f t="shared" si="1"/>
        <v>Unconfirmed</v>
      </c>
      <c r="I199" s="16">
        <f t="shared" si="2"/>
        <v>6.89703316</v>
      </c>
      <c r="J199" s="7" t="str">
        <f>IFERROR(__xludf.DUMMYFUNCTION("IFERROR(IF(A199="""",""ENTER STOCK"",
  LET(
    raw_high, GOOGLEFINANCE(""NSE:"" &amp; A199, ""high"", TODAY()-365, TODAY()),
    high_date, IFERROR(TO_DATE(QUERY(raw_high, ""SELECT Col1 WHERE Col2 IS NOT NULL ORDER BY Col2 DESC LIMIT 1 LABEL Col1 ''"", 1"&amp;")), TODAY()-30),
    raw_data, IFERROR(GOOGLEFINANCE(""NSE:"" &amp; A199, ""close"", high_date, TODAY()), GOOGLEFINANCE(""NSE:"" &amp; A199,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199" s="7"/>
    </row>
    <row r="200">
      <c r="A200" s="8" t="s">
        <v>211</v>
      </c>
      <c r="B200" s="9">
        <v>1.1943139416E9</v>
      </c>
      <c r="C200" s="9">
        <v>1465.2</v>
      </c>
      <c r="D200" s="12">
        <f>IFERROR(__xludf.DUMMYFUNCTION("GOOGLEFINANCE(""NSE:""&amp;A200,""price"")"),1460.0)</f>
        <v>1460</v>
      </c>
      <c r="E200" s="13">
        <f>IFERROR(__xludf.DUMMYFUNCTION("IFERROR(AVERAGE(QUERY(SORT(GOOGLEFINANCE(""NSE:""&amp;A200,""price"",TODAY()-75,TODAY()),1,0),""select Col2 limit 50"")), """")"),1370.164)</f>
        <v>1370.164</v>
      </c>
      <c r="F200" s="13">
        <f>IFERROR(__xludf.DUMMYFUNCTION("IFERROR(AVERAGE(QUERY(SORT(GOOGLEFINANCE(""NSE:""&amp;A200,""price"",TODAY()-150,TODAY()),1,0),""select Col2 limit 100"")), """")"),1168.2160000000001)</f>
        <v>1168.216</v>
      </c>
      <c r="G200" s="13">
        <f>IFERROR(__xludf.DUMMYFUNCTION("IFERROR(AVERAGE(QUERY(SORT(GOOGLEFINANCE(""NSE:""&amp;A200,""price"",TODAY()-300,TODAY()),1,0),""select Col2 limit 200"")), """")"),974.5715000000001)</f>
        <v>974.5715</v>
      </c>
      <c r="H200" s="15" t="str">
        <f t="shared" si="1"/>
        <v>Unconfirmed</v>
      </c>
      <c r="I200" s="16">
        <f t="shared" si="2"/>
        <v>49.80942907</v>
      </c>
      <c r="J200" s="7" t="str">
        <f>IFERROR(__xludf.DUMMYFUNCTION("IFERROR(IF(A200="""",""ENTER STOCK"",
  LET(
    raw_high, GOOGLEFINANCE(""NSE:"" &amp; A200, ""high"", TODAY()-365, TODAY()),
    high_date, IFERROR(TO_DATE(QUERY(raw_high, ""SELECT Col1 WHERE Col2 IS NOT NULL ORDER BY Col2 DESC LIMIT 1 LABEL Col1 ''"", 1"&amp;")), TODAY()-30),
    raw_data, IFERROR(GOOGLEFINANCE(""NSE:"" &amp; A200, ""close"", high_date, TODAY()), GOOGLEFINANCE(""NSE:"" &amp; A200,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00" s="7"/>
    </row>
    <row r="201">
      <c r="A201" s="8" t="s">
        <v>212</v>
      </c>
      <c r="B201" s="9">
        <v>1.1915325824E9</v>
      </c>
      <c r="C201" s="9">
        <v>1894.4</v>
      </c>
      <c r="D201" s="12">
        <f>IFERROR(__xludf.DUMMYFUNCTION("GOOGLEFINANCE(""NSE:""&amp;A201,""price"")"),1885.3)</f>
        <v>1885.3</v>
      </c>
      <c r="E201" s="13">
        <f>IFERROR(__xludf.DUMMYFUNCTION("IFERROR(AVERAGE(QUERY(SORT(GOOGLEFINANCE(""NSE:""&amp;A201,""price"",TODAY()-75,TODAY()),1,0),""select Col2 limit 50"")), """")"),1761.62)</f>
        <v>1761.62</v>
      </c>
      <c r="F201" s="13">
        <f>IFERROR(__xludf.DUMMYFUNCTION("IFERROR(AVERAGE(QUERY(SORT(GOOGLEFINANCE(""NSE:""&amp;A201,""price"",TODAY()-150,TODAY()),1,0),""select Col2 limit 100"")), """")"),1645.3869999999997)</f>
        <v>1645.387</v>
      </c>
      <c r="G201" s="13">
        <f>IFERROR(__xludf.DUMMYFUNCTION("IFERROR(AVERAGE(QUERY(SORT(GOOGLEFINANCE(""NSE:""&amp;A201,""price"",TODAY()-300,TODAY()),1,0),""select Col2 limit 200"")), """")"),1668.440000000001)</f>
        <v>1668.44</v>
      </c>
      <c r="H201" s="15" t="str">
        <f t="shared" si="1"/>
        <v>Unconfirmed</v>
      </c>
      <c r="I201" s="16">
        <f t="shared" si="2"/>
        <v>12.99777037</v>
      </c>
      <c r="J201" s="7" t="str">
        <f>IFERROR(__xludf.DUMMYFUNCTION("IFERROR(IF(A201="""",""ENTER STOCK"",
  LET(
    raw_high, GOOGLEFINANCE(""NSE:"" &amp; A201, ""high"", TODAY()-365, TODAY()),
    high_date, IFERROR(TO_DATE(QUERY(raw_high, ""SELECT Col1 WHERE Col2 IS NOT NULL ORDER BY Col2 DESC LIMIT 1 LABEL Col1 ''"", 1"&amp;")), TODAY()-30),
    raw_data, IFERROR(GOOGLEFINANCE(""NSE:"" &amp; A201, ""close"", high_date, TODAY()), GOOGLEFINANCE(""NSE:"" &amp; A201,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01" s="7"/>
    </row>
    <row r="202">
      <c r="A202" s="8" t="s">
        <v>213</v>
      </c>
      <c r="B202" s="9">
        <v>1.1898834327E9</v>
      </c>
      <c r="C202" s="9">
        <v>3940.0</v>
      </c>
      <c r="D202" s="12">
        <f>IFERROR(__xludf.DUMMYFUNCTION("GOOGLEFINANCE(""NSE:""&amp;A202,""price"")"),3936.0)</f>
        <v>3936</v>
      </c>
      <c r="E202" s="13">
        <f>IFERROR(__xludf.DUMMYFUNCTION("IFERROR(AVERAGE(QUERY(SORT(GOOGLEFINANCE(""NSE:""&amp;A202,""price"",TODAY()-75,TODAY()),1,0),""select Col2 limit 50"")), """")"),3688.5679999999998)</f>
        <v>3688.568</v>
      </c>
      <c r="F202" s="13">
        <f>IFERROR(__xludf.DUMMYFUNCTION("IFERROR(AVERAGE(QUERY(SORT(GOOGLEFINANCE(""NSE:""&amp;A202,""price"",TODAY()-150,TODAY()),1,0),""select Col2 limit 100"")), """")"),3615.5449999999996)</f>
        <v>3615.545</v>
      </c>
      <c r="G202" s="13">
        <f>IFERROR(__xludf.DUMMYFUNCTION("IFERROR(AVERAGE(QUERY(SORT(GOOGLEFINANCE(""NSE:""&amp;A202,""price"",TODAY()-300,TODAY()),1,0),""select Col2 limit 200"")), """")"),3382.711)</f>
        <v>3382.711</v>
      </c>
      <c r="H202" s="15" t="str">
        <f t="shared" si="1"/>
        <v>Unconfirmed</v>
      </c>
      <c r="I202" s="16">
        <f t="shared" si="2"/>
        <v>16.35637806</v>
      </c>
      <c r="J202" s="7" t="str">
        <f>IFERROR(__xludf.DUMMYFUNCTION("IFERROR(IF(A202="""",""ENTER STOCK"",
  LET(
    raw_high, GOOGLEFINANCE(""NSE:"" &amp; A202, ""high"", TODAY()-365, TODAY()),
    high_date, IFERROR(TO_DATE(QUERY(raw_high, ""SELECT Col1 WHERE Col2 IS NOT NULL ORDER BY Col2 DESC LIMIT 1 LABEL Col1 ''"", 1"&amp;")), TODAY()-30),
    raw_data, IFERROR(GOOGLEFINANCE(""NSE:"" &amp; A202, ""close"", high_date, TODAY()), GOOGLEFINANCE(""NSE:"" &amp; A202,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02" s="7"/>
    </row>
    <row r="203">
      <c r="A203" s="8" t="s">
        <v>214</v>
      </c>
      <c r="B203" s="9">
        <v>1.1874522925E9</v>
      </c>
      <c r="C203" s="9">
        <v>9240.0</v>
      </c>
      <c r="D203" s="12">
        <f>IFERROR(__xludf.DUMMYFUNCTION("GOOGLEFINANCE(""NSE:""&amp;A203,""price"")"),9230.0)</f>
        <v>9230</v>
      </c>
      <c r="E203" s="13">
        <f>IFERROR(__xludf.DUMMYFUNCTION("IFERROR(AVERAGE(QUERY(SORT(GOOGLEFINANCE(""NSE:""&amp;A203,""price"",TODAY()-75,TODAY()),1,0),""select Col2 limit 50"")), """")"),9379.75)</f>
        <v>9379.75</v>
      </c>
      <c r="F203" s="13">
        <f>IFERROR(__xludf.DUMMYFUNCTION("IFERROR(AVERAGE(QUERY(SORT(GOOGLEFINANCE(""NSE:""&amp;A203,""price"",TODAY()-150,TODAY()),1,0),""select Col2 limit 100"")), """")"),8844.095)</f>
        <v>8844.095</v>
      </c>
      <c r="G203" s="13">
        <f>IFERROR(__xludf.DUMMYFUNCTION("IFERROR(AVERAGE(QUERY(SORT(GOOGLEFINANCE(""NSE:""&amp;A203,""price"",TODAY()-300,TODAY()),1,0),""select Col2 limit 200"")), """")"),8204.35)</f>
        <v>8204.35</v>
      </c>
      <c r="H203" s="15" t="str">
        <f t="shared" si="1"/>
        <v>Unconfirmed</v>
      </c>
      <c r="I203" s="16">
        <f t="shared" si="2"/>
        <v>12.50129504</v>
      </c>
      <c r="J203" s="7" t="str">
        <f>IFERROR(__xludf.DUMMYFUNCTION("IFERROR(IF(A203="""",""ENTER STOCK"",
  LET(
    raw_high, GOOGLEFINANCE(""NSE:"" &amp; A203, ""high"", TODAY()-365, TODAY()),
    high_date, IFERROR(TO_DATE(QUERY(raw_high, ""SELECT Col1 WHERE Col2 IS NOT NULL ORDER BY Col2 DESC LIMIT 1 LABEL Col1 ''"", 1"&amp;")), TODAY()-30),
    raw_data, IFERROR(GOOGLEFINANCE(""NSE:"" &amp; A203, ""close"", high_date, TODAY()), GOOGLEFINANCE(""NSE:"" &amp; A203,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03" s="7"/>
    </row>
    <row r="204">
      <c r="A204" s="8" t="s">
        <v>215</v>
      </c>
      <c r="B204" s="9">
        <v>1.1748092727E9</v>
      </c>
      <c r="C204" s="9">
        <v>1597.2</v>
      </c>
      <c r="D204" s="12">
        <f>IFERROR(__xludf.DUMMYFUNCTION("GOOGLEFINANCE(""NSE:""&amp;A204,""price"")"),1598.0)</f>
        <v>1598</v>
      </c>
      <c r="E204" s="13">
        <f>IFERROR(__xludf.DUMMYFUNCTION("IFERROR(AVERAGE(QUERY(SORT(GOOGLEFINANCE(""NSE:""&amp;A204,""price"",TODAY()-75,TODAY()),1,0),""select Col2 limit 50"")), """")"),1579.1020000000003)</f>
        <v>1579.102</v>
      </c>
      <c r="F204" s="13">
        <f>IFERROR(__xludf.DUMMYFUNCTION("IFERROR(AVERAGE(QUERY(SORT(GOOGLEFINANCE(""NSE:""&amp;A204,""price"",TODAY()-150,TODAY()),1,0),""select Col2 limit 100"")), """")"),1573.4660000000001)</f>
        <v>1573.466</v>
      </c>
      <c r="G204" s="13">
        <f>IFERROR(__xludf.DUMMYFUNCTION("IFERROR(AVERAGE(QUERY(SORT(GOOGLEFINANCE(""NSE:""&amp;A204,""price"",TODAY()-300,TODAY()),1,0),""select Col2 limit 200"")), """")"),1682.5419999999995)</f>
        <v>1682.542</v>
      </c>
      <c r="H204" s="15" t="str">
        <f t="shared" si="1"/>
        <v>Unconfirmed</v>
      </c>
      <c r="I204" s="16">
        <f t="shared" si="2"/>
        <v>-5.024659117</v>
      </c>
      <c r="J204" s="7" t="str">
        <f>IFERROR(__xludf.DUMMYFUNCTION("IFERROR(IF(A204="""",""ENTER STOCK"",
  LET(
    raw_high, GOOGLEFINANCE(""NSE:"" &amp; A204, ""high"", TODAY()-365, TODAY()),
    high_date, IFERROR(TO_DATE(QUERY(raw_high, ""SELECT Col1 WHERE Col2 IS NOT NULL ORDER BY Col2 DESC LIMIT 1 LABEL Col1 ''"", 1"&amp;")), TODAY()-30),
    raw_data, IFERROR(GOOGLEFINANCE(""NSE:"" &amp; A204, ""close"", high_date, TODAY()), GOOGLEFINANCE(""NSE:"" &amp; A204,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04" s="7"/>
    </row>
    <row r="205">
      <c r="A205" s="8" t="s">
        <v>216</v>
      </c>
      <c r="B205" s="9">
        <v>1.1599378438E9</v>
      </c>
      <c r="C205" s="9">
        <v>158.68</v>
      </c>
      <c r="D205" s="12">
        <f>IFERROR(__xludf.DUMMYFUNCTION("GOOGLEFINANCE(""NSE:""&amp;A205,""price"")"),158.06)</f>
        <v>158.06</v>
      </c>
      <c r="E205" s="13">
        <f>IFERROR(__xludf.DUMMYFUNCTION("IFERROR(AVERAGE(QUERY(SORT(GOOGLEFINANCE(""NSE:""&amp;A205,""price"",TODAY()-75,TODAY()),1,0),""select Col2 limit 50"")), """")"),152.2926)</f>
        <v>152.2926</v>
      </c>
      <c r="F205" s="13">
        <f>IFERROR(__xludf.DUMMYFUNCTION("IFERROR(AVERAGE(QUERY(SORT(GOOGLEFINANCE(""NSE:""&amp;A205,""price"",TODAY()-150,TODAY()),1,0),""select Col2 limit 100"")), """")"),153.09969999999998)</f>
        <v>153.0997</v>
      </c>
      <c r="G205" s="13">
        <f>IFERROR(__xludf.DUMMYFUNCTION("IFERROR(AVERAGE(QUERY(SORT(GOOGLEFINANCE(""NSE:""&amp;A205,""price"",TODAY()-300,TODAY()),1,0),""select Col2 limit 200"")), """")"),164.35694999999996)</f>
        <v>164.35695</v>
      </c>
      <c r="H205" s="15" t="str">
        <f t="shared" si="1"/>
        <v>Unconfirmed</v>
      </c>
      <c r="I205" s="16">
        <f t="shared" si="2"/>
        <v>-3.831264817</v>
      </c>
      <c r="J205" s="7" t="str">
        <f>IFERROR(__xludf.DUMMYFUNCTION("IFERROR(IF(A205="""",""ENTER STOCK"",
  LET(
    raw_high, GOOGLEFINANCE(""NSE:"" &amp; A205, ""high"", TODAY()-365, TODAY()),
    high_date, IFERROR(TO_DATE(QUERY(raw_high, ""SELECT Col1 WHERE Col2 IS NOT NULL ORDER BY Col2 DESC LIMIT 1 LABEL Col1 ''"", 1"&amp;")), TODAY()-30),
    raw_data, IFERROR(GOOGLEFINANCE(""NSE:"" &amp; A205, ""close"", high_date, TODAY()), GOOGLEFINANCE(""NSE:"" &amp; A205,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05" s="7"/>
    </row>
    <row r="206">
      <c r="A206" s="8" t="s">
        <v>217</v>
      </c>
      <c r="B206" s="9">
        <v>1.1598206784E9</v>
      </c>
      <c r="C206" s="9">
        <v>2532.5</v>
      </c>
      <c r="D206" s="12">
        <f>IFERROR(__xludf.DUMMYFUNCTION("GOOGLEFINANCE(""NSE:""&amp;A206,""price"")"),2542.1)</f>
        <v>2542.1</v>
      </c>
      <c r="E206" s="13">
        <f>IFERROR(__xludf.DUMMYFUNCTION("IFERROR(AVERAGE(QUERY(SORT(GOOGLEFINANCE(""NSE:""&amp;A206,""price"",TODAY()-75,TODAY()),1,0),""select Col2 limit 50"")), """")"),2251.2)</f>
        <v>2251.2</v>
      </c>
      <c r="F206" s="13">
        <f>IFERROR(__xludf.DUMMYFUNCTION("IFERROR(AVERAGE(QUERY(SORT(GOOGLEFINANCE(""NSE:""&amp;A206,""price"",TODAY()-150,TODAY()),1,0),""select Col2 limit 100"")), """")"),2028.2990000000002)</f>
        <v>2028.299</v>
      </c>
      <c r="G206" s="13">
        <f>IFERROR(__xludf.DUMMYFUNCTION("IFERROR(AVERAGE(QUERY(SORT(GOOGLEFINANCE(""NSE:""&amp;A206,""price"",TODAY()-300,TODAY()),1,0),""select Col2 limit 200"")), """")"),1866.2109999999996)</f>
        <v>1866.211</v>
      </c>
      <c r="H206" s="15" t="str">
        <f t="shared" si="1"/>
        <v>Unconfirmed</v>
      </c>
      <c r="I206" s="16">
        <f t="shared" si="2"/>
        <v>36.21718016</v>
      </c>
      <c r="J206" s="7" t="str">
        <f>IFERROR(__xludf.DUMMYFUNCTION("IFERROR(IF(A206="""",""ENTER STOCK"",
  LET(
    raw_high, GOOGLEFINANCE(""NSE:"" &amp; A206, ""high"", TODAY()-365, TODAY()),
    high_date, IFERROR(TO_DATE(QUERY(raw_high, ""SELECT Col1 WHERE Col2 IS NOT NULL ORDER BY Col2 DESC LIMIT 1 LABEL Col1 ''"", 1"&amp;")), TODAY()-30),
    raw_data, IFERROR(GOOGLEFINANCE(""NSE:"" &amp; A206, ""close"", high_date, TODAY()), GOOGLEFINANCE(""NSE:"" &amp; A206,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06" s="7"/>
    </row>
    <row r="207">
      <c r="A207" s="8" t="s">
        <v>218</v>
      </c>
      <c r="B207" s="9">
        <v>1.156335294E9</v>
      </c>
      <c r="C207" s="9">
        <v>1693.0</v>
      </c>
      <c r="D207" s="12">
        <f>IFERROR(__xludf.DUMMYFUNCTION("GOOGLEFINANCE(""NSE:""&amp;A207,""price"")"),1699.3)</f>
        <v>1699.3</v>
      </c>
      <c r="E207" s="13">
        <f>IFERROR(__xludf.DUMMYFUNCTION("IFERROR(AVERAGE(QUERY(SORT(GOOGLEFINANCE(""NSE:""&amp;A207,""price"",TODAY()-75,TODAY()),1,0),""select Col2 limit 50"")), """")"),1593.9960000000003)</f>
        <v>1593.996</v>
      </c>
      <c r="F207" s="13">
        <f>IFERROR(__xludf.DUMMYFUNCTION("IFERROR(AVERAGE(QUERY(SORT(GOOGLEFINANCE(""NSE:""&amp;A207,""price"",TODAY()-150,TODAY()),1,0),""select Col2 limit 100"")), """")"),1495.8500000000004)</f>
        <v>1495.85</v>
      </c>
      <c r="G207" s="13">
        <f>IFERROR(__xludf.DUMMYFUNCTION("IFERROR(AVERAGE(QUERY(SORT(GOOGLEFINANCE(""NSE:""&amp;A207,""price"",TODAY()-300,TODAY()),1,0),""select Col2 limit 200"")), """")"),1479.9739999999993)</f>
        <v>1479.974</v>
      </c>
      <c r="H207" s="15" t="str">
        <f t="shared" si="1"/>
        <v>Unconfirmed</v>
      </c>
      <c r="I207" s="16">
        <f t="shared" si="2"/>
        <v>14.81958467</v>
      </c>
      <c r="J207" s="7" t="str">
        <f>IFERROR(__xludf.DUMMYFUNCTION("IFERROR(IF(A207="""",""ENTER STOCK"",
  LET(
    raw_high, GOOGLEFINANCE(""NSE:"" &amp; A207, ""high"", TODAY()-365, TODAY()),
    high_date, IFERROR(TO_DATE(QUERY(raw_high, ""SELECT Col1 WHERE Col2 IS NOT NULL ORDER BY Col2 DESC LIMIT 1 LABEL Col1 ''"", 1"&amp;")), TODAY()-30),
    raw_data, IFERROR(GOOGLEFINANCE(""NSE:"" &amp; A207, ""close"", high_date, TODAY()), GOOGLEFINANCE(""NSE:"" &amp; A207,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07" s="7"/>
    </row>
    <row r="208">
      <c r="A208" s="8" t="s">
        <v>219</v>
      </c>
      <c r="B208" s="9">
        <v>1.1457738898E9</v>
      </c>
      <c r="C208" s="9">
        <v>1450.0</v>
      </c>
      <c r="D208" s="12">
        <f>IFERROR(__xludf.DUMMYFUNCTION("GOOGLEFINANCE(""NSE:""&amp;A208,""price"")"),1450.0)</f>
        <v>1450</v>
      </c>
      <c r="E208" s="13">
        <f>IFERROR(__xludf.DUMMYFUNCTION("IFERROR(AVERAGE(QUERY(SORT(GOOGLEFINANCE(""NSE:""&amp;A208,""price"",TODAY()-75,TODAY()),1,0),""select Col2 limit 50"")), """")"),1430.6)</f>
        <v>1430.6</v>
      </c>
      <c r="F208" s="13">
        <f>IFERROR(__xludf.DUMMYFUNCTION("IFERROR(AVERAGE(QUERY(SORT(GOOGLEFINANCE(""NSE:""&amp;A208,""price"",TODAY()-150,TODAY()),1,0),""select Col2 limit 100"")), """")"),1368.6529999999996)</f>
        <v>1368.653</v>
      </c>
      <c r="G208" s="13">
        <f>IFERROR(__xludf.DUMMYFUNCTION("IFERROR(AVERAGE(QUERY(SORT(GOOGLEFINANCE(""NSE:""&amp;A208,""price"",TODAY()-300,TODAY()),1,0),""select Col2 limit 200"")), """")"),1403.439499999999)</f>
        <v>1403.4395</v>
      </c>
      <c r="H208" s="15" t="str">
        <f t="shared" si="1"/>
        <v>In Bull Run</v>
      </c>
      <c r="I208" s="16">
        <f t="shared" si="2"/>
        <v>3.317599369</v>
      </c>
      <c r="J208" s="7" t="str">
        <f>IFERROR(__xludf.DUMMYFUNCTION("IFERROR(IF(A208="""",""ENTER STOCK"",
  LET(
    raw_high, GOOGLEFINANCE(""NSE:"" &amp; A208, ""high"", TODAY()-365, TODAY()),
    high_date, IFERROR(TO_DATE(QUERY(raw_high, ""SELECT Col1 WHERE Col2 IS NOT NULL ORDER BY Col2 DESC LIMIT 1 LABEL Col1 ''"", 1"&amp;")), TODAY()-30),
    raw_data, IFERROR(GOOGLEFINANCE(""NSE:"" &amp; A208, ""close"", high_date, TODAY()), GOOGLEFINANCE(""NSE:"" &amp; A208,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208" s="7"/>
    </row>
    <row r="209">
      <c r="A209" s="8" t="s">
        <v>220</v>
      </c>
      <c r="B209" s="9">
        <v>1.1431008183E9</v>
      </c>
      <c r="C209" s="9">
        <v>2618.6</v>
      </c>
      <c r="D209" s="12">
        <f>IFERROR(__xludf.DUMMYFUNCTION("GOOGLEFINANCE(""NSE:""&amp;A209,""price"")"),2614.5)</f>
        <v>2614.5</v>
      </c>
      <c r="E209" s="13">
        <f>IFERROR(__xludf.DUMMYFUNCTION("IFERROR(AVERAGE(QUERY(SORT(GOOGLEFINANCE(""NSE:""&amp;A209,""price"",TODAY()-75,TODAY()),1,0),""select Col2 limit 50"")), """")"),2651.2900000000004)</f>
        <v>2651.29</v>
      </c>
      <c r="F209" s="13">
        <f>IFERROR(__xludf.DUMMYFUNCTION("IFERROR(AVERAGE(QUERY(SORT(GOOGLEFINANCE(""NSE:""&amp;A209,""price"",TODAY()-150,TODAY()),1,0),""select Col2 limit 100"")), """")"),2637.161999999999)</f>
        <v>2637.162</v>
      </c>
      <c r="G209" s="13">
        <f>IFERROR(__xludf.DUMMYFUNCTION("IFERROR(AVERAGE(QUERY(SORT(GOOGLEFINANCE(""NSE:""&amp;A209,""price"",TODAY()-300,TODAY()),1,0),""select Col2 limit 200"")), """")"),2572.639999999998)</f>
        <v>2572.64</v>
      </c>
      <c r="H209" s="15" t="str">
        <f t="shared" si="1"/>
        <v>Unconfirmed</v>
      </c>
      <c r="I209" s="16">
        <f t="shared" si="2"/>
        <v>1.627122333</v>
      </c>
      <c r="J209" s="7" t="str">
        <f>IFERROR(__xludf.DUMMYFUNCTION("IFERROR(IF(A209="""",""ENTER STOCK"",
  LET(
    raw_high, GOOGLEFINANCE(""NSE:"" &amp; A209, ""high"", TODAY()-365, TODAY()),
    high_date, IFERROR(TO_DATE(QUERY(raw_high, ""SELECT Col1 WHERE Col2 IS NOT NULL ORDER BY Col2 DESC LIMIT 1 LABEL Col1 ''"", 1"&amp;")), TODAY()-30),
    raw_data, IFERROR(GOOGLEFINANCE(""NSE:"" &amp; A209, ""close"", high_date, TODAY()), GOOGLEFINANCE(""NSE:"" &amp; A209,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09" s="7"/>
    </row>
    <row r="210">
      <c r="A210" s="8" t="s">
        <v>221</v>
      </c>
      <c r="B210" s="9">
        <v>1.13613520145E9</v>
      </c>
      <c r="C210" s="9">
        <v>306.3</v>
      </c>
      <c r="D210" s="12">
        <f>IFERROR(__xludf.DUMMYFUNCTION("GOOGLEFINANCE(""NSE:""&amp;A210,""price"")"),306.2)</f>
        <v>306.2</v>
      </c>
      <c r="E210" s="13">
        <f>IFERROR(__xludf.DUMMYFUNCTION("IFERROR(AVERAGE(QUERY(SORT(GOOGLEFINANCE(""NSE:""&amp;A210,""price"",TODAY()-75,TODAY()),1,0),""select Col2 limit 50"")), """")"),303.99600000000004)</f>
        <v>303.996</v>
      </c>
      <c r="F210" s="13">
        <f>IFERROR(__xludf.DUMMYFUNCTION("IFERROR(AVERAGE(QUERY(SORT(GOOGLEFINANCE(""NSE:""&amp;A210,""price"",TODAY()-150,TODAY()),1,0),""select Col2 limit 100"")), """")"),289.9615000000001)</f>
        <v>289.9615</v>
      </c>
      <c r="G210" s="13">
        <f>IFERROR(__xludf.DUMMYFUNCTION("IFERROR(AVERAGE(QUERY(SORT(GOOGLEFINANCE(""NSE:""&amp;A210,""price"",TODAY()-300,TODAY()),1,0),""select Col2 limit 200"")), """")"),291.00930000000017)</f>
        <v>291.0093</v>
      </c>
      <c r="H210" s="15" t="str">
        <f t="shared" si="1"/>
        <v>In Bull Run</v>
      </c>
      <c r="I210" s="16">
        <f t="shared" si="2"/>
        <v>5.220004996</v>
      </c>
      <c r="J210" s="7" t="str">
        <f>IFERROR(__xludf.DUMMYFUNCTION("IFERROR(IF(A210="""",""ENTER STOCK"",
  LET(
    raw_high, GOOGLEFINANCE(""NSE:"" &amp; A210, ""high"", TODAY()-365, TODAY()),
    high_date, IFERROR(TO_DATE(QUERY(raw_high, ""SELECT Col1 WHERE Col2 IS NOT NULL ORDER BY Col2 DESC LIMIT 1 LABEL Col1 ''"", 1"&amp;")), TODAY()-30),
    raw_data, IFERROR(GOOGLEFINANCE(""NSE:"" &amp; A210, ""close"", high_date, TODAY()), GOOGLEFINANCE(""NSE:"" &amp; A210,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10" s="7"/>
    </row>
    <row r="211">
      <c r="A211" s="8" t="s">
        <v>222</v>
      </c>
      <c r="B211" s="9">
        <v>1.1336351266E9</v>
      </c>
      <c r="C211" s="9">
        <v>2425.2</v>
      </c>
      <c r="D211" s="12">
        <f>IFERROR(__xludf.DUMMYFUNCTION("GOOGLEFINANCE(""NSE:""&amp;A211,""price"")"),2415.9)</f>
        <v>2415.9</v>
      </c>
      <c r="E211" s="13">
        <f>IFERROR(__xludf.DUMMYFUNCTION("IFERROR(AVERAGE(QUERY(SORT(GOOGLEFINANCE(""NSE:""&amp;A211,""price"",TODAY()-75,TODAY()),1,0),""select Col2 limit 50"")), """")"),2476.6980000000003)</f>
        <v>2476.698</v>
      </c>
      <c r="F211" s="13">
        <f>IFERROR(__xludf.DUMMYFUNCTION("IFERROR(AVERAGE(QUERY(SORT(GOOGLEFINANCE(""NSE:""&amp;A211,""price"",TODAY()-150,TODAY()),1,0),""select Col2 limit 100"")), """")"),2362.0659999999993)</f>
        <v>2362.066</v>
      </c>
      <c r="G211" s="13">
        <f>IFERROR(__xludf.DUMMYFUNCTION("IFERROR(AVERAGE(QUERY(SORT(GOOGLEFINANCE(""NSE:""&amp;A211,""price"",TODAY()-300,TODAY()),1,0),""select Col2 limit 200"")), """")"),2278.040499999999)</f>
        <v>2278.0405</v>
      </c>
      <c r="H211" s="15" t="str">
        <f t="shared" si="1"/>
        <v>Unconfirmed</v>
      </c>
      <c r="I211" s="16">
        <f t="shared" si="2"/>
        <v>6.051670284</v>
      </c>
      <c r="J211" s="7" t="str">
        <f>IFERROR(__xludf.DUMMYFUNCTION("IFERROR(IF(A211="""",""ENTER STOCK"",
  LET(
    raw_high, GOOGLEFINANCE(""NSE:"" &amp; A211, ""high"", TODAY()-365, TODAY()),
    high_date, IFERROR(TO_DATE(QUERY(raw_high, ""SELECT Col1 WHERE Col2 IS NOT NULL ORDER BY Col2 DESC LIMIT 1 LABEL Col1 ''"", 1"&amp;")), TODAY()-30),
    raw_data, IFERROR(GOOGLEFINANCE(""NSE:"" &amp; A211, ""close"", high_date, TODAY()), GOOGLEFINANCE(""NSE:"" &amp; A211,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211" s="7"/>
    </row>
    <row r="212">
      <c r="A212" s="8" t="s">
        <v>223</v>
      </c>
      <c r="B212" s="9">
        <v>1.1291397287E9</v>
      </c>
      <c r="C212" s="9">
        <v>1079.5</v>
      </c>
      <c r="D212" s="12">
        <f>IFERROR(__xludf.DUMMYFUNCTION("GOOGLEFINANCE(""NSE:""&amp;A212,""price"")"),1083.0)</f>
        <v>1083</v>
      </c>
      <c r="E212" s="13">
        <f>IFERROR(__xludf.DUMMYFUNCTION("IFERROR(AVERAGE(QUERY(SORT(GOOGLEFINANCE(""NSE:""&amp;A212,""price"",TODAY()-75,TODAY()),1,0),""select Col2 limit 50"")), """")"),1100.318)</f>
        <v>1100.318</v>
      </c>
      <c r="F212" s="13">
        <f>IFERROR(__xludf.DUMMYFUNCTION("IFERROR(AVERAGE(QUERY(SORT(GOOGLEFINANCE(""NSE:""&amp;A212,""price"",TODAY()-150,TODAY()),1,0),""select Col2 limit 100"")), """")"),1119.522)</f>
        <v>1119.522</v>
      </c>
      <c r="G212" s="13">
        <f>IFERROR(__xludf.DUMMYFUNCTION("IFERROR(AVERAGE(QUERY(SORT(GOOGLEFINANCE(""NSE:""&amp;A212,""price"",TODAY()-300,TODAY()),1,0),""select Col2 limit 200"")), """")"),1138.7695)</f>
        <v>1138.7695</v>
      </c>
      <c r="H212" s="15" t="str">
        <f t="shared" si="1"/>
        <v>In Bear Run</v>
      </c>
      <c r="I212" s="16">
        <f t="shared" si="2"/>
        <v>-4.897347532</v>
      </c>
      <c r="J212" s="7" t="str">
        <f>IFERROR(__xludf.DUMMYFUNCTION("IFERROR(IF(A212="""",""ENTER STOCK"",
  LET(
    raw_high, GOOGLEFINANCE(""NSE:"" &amp; A212, ""high"", TODAY()-365, TODAY()),
    high_date, IFERROR(TO_DATE(QUERY(raw_high, ""SELECT Col1 WHERE Col2 IS NOT NULL ORDER BY Col2 DESC LIMIT 1 LABEL Col1 ''"", 1"&amp;")), TODAY()-30),
    raw_data, IFERROR(GOOGLEFINANCE(""NSE:"" &amp; A212, ""close"", high_date, TODAY()), GOOGLEFINANCE(""NSE:"" &amp; A212,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12" s="7"/>
    </row>
    <row r="213">
      <c r="A213" s="8" t="s">
        <v>224</v>
      </c>
      <c r="B213" s="9">
        <v>1.12783568785E9</v>
      </c>
      <c r="C213" s="9">
        <v>287.3</v>
      </c>
      <c r="D213" s="12">
        <f>IFERROR(__xludf.DUMMYFUNCTION("GOOGLEFINANCE(""NSE:""&amp;A213,""price"")"),286.7)</f>
        <v>286.7</v>
      </c>
      <c r="E213" s="13">
        <f>IFERROR(__xludf.DUMMYFUNCTION("IFERROR(AVERAGE(QUERY(SORT(GOOGLEFINANCE(""NSE:""&amp;A213,""price"",TODAY()-75,TODAY()),1,0),""select Col2 limit 50"")), """")"),324.30899999999997)</f>
        <v>324.309</v>
      </c>
      <c r="F213" s="13">
        <f>IFERROR(__xludf.DUMMYFUNCTION("IFERROR(AVERAGE(QUERY(SORT(GOOGLEFINANCE(""NSE:""&amp;A213,""price"",TODAY()-150,TODAY()),1,0),""select Col2 limit 100"")), """")"),311.63919999999985)</f>
        <v>311.6392</v>
      </c>
      <c r="G213" s="13">
        <f>IFERROR(__xludf.DUMMYFUNCTION("IFERROR(AVERAGE(QUERY(SORT(GOOGLEFINANCE(""NSE:""&amp;A213,""price"",TODAY()-300,TODAY()),1,0),""select Col2 limit 200"")), """")"),282.4461999999995)</f>
        <v>282.4462</v>
      </c>
      <c r="H213" s="15" t="str">
        <f t="shared" si="1"/>
        <v>Unconfirmed</v>
      </c>
      <c r="I213" s="16">
        <f t="shared" si="2"/>
        <v>1.506056729</v>
      </c>
      <c r="J213" s="7" t="str">
        <f>IFERROR(__xludf.DUMMYFUNCTION("IFERROR(IF(A213="""",""ENTER STOCK"",
  LET(
    raw_high, GOOGLEFINANCE(""NSE:"" &amp; A213, ""high"", TODAY()-365, TODAY()),
    high_date, IFERROR(TO_DATE(QUERY(raw_high, ""SELECT Col1 WHERE Col2 IS NOT NULL ORDER BY Col2 DESC LIMIT 1 LABEL Col1 ''"", 1"&amp;")), TODAY()-30),
    raw_data, IFERROR(GOOGLEFINANCE(""NSE:"" &amp; A213, ""close"", high_date, TODAY()), GOOGLEFINANCE(""NSE:"" &amp; A213,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13" s="7"/>
    </row>
    <row r="214">
      <c r="A214" s="8" t="s">
        <v>225</v>
      </c>
      <c r="B214" s="9">
        <v>1.1250688895E9</v>
      </c>
      <c r="C214" s="9">
        <v>1484.6</v>
      </c>
      <c r="D214" s="12">
        <f>IFERROR(__xludf.DUMMYFUNCTION("GOOGLEFINANCE(""NSE:""&amp;A214,""price"")"),1490.0)</f>
        <v>1490</v>
      </c>
      <c r="E214" s="13">
        <f>IFERROR(__xludf.DUMMYFUNCTION("IFERROR(AVERAGE(QUERY(SORT(GOOGLEFINANCE(""NSE:""&amp;A214,""price"",TODAY()-75,TODAY()),1,0),""select Col2 limit 50"")), """")"),1198.0100000000002)</f>
        <v>1198.01</v>
      </c>
      <c r="F214" s="13">
        <f>IFERROR(__xludf.DUMMYFUNCTION("IFERROR(AVERAGE(QUERY(SORT(GOOGLEFINANCE(""NSE:""&amp;A214,""price"",TODAY()-150,TODAY()),1,0),""select Col2 limit 100"")), """")"),1144.8495000000003)</f>
        <v>1144.8495</v>
      </c>
      <c r="G214" s="13">
        <f>IFERROR(__xludf.DUMMYFUNCTION("IFERROR(AVERAGE(QUERY(SORT(GOOGLEFINANCE(""NSE:""&amp;A214,""price"",TODAY()-300,TODAY()),1,0),""select Col2 limit 200"")), """")"),950.8115000000004)</f>
        <v>950.8115</v>
      </c>
      <c r="H214" s="15" t="str">
        <f t="shared" si="1"/>
        <v>Unconfirmed</v>
      </c>
      <c r="I214" s="16">
        <f t="shared" si="2"/>
        <v>56.70824343</v>
      </c>
      <c r="J214" s="7" t="str">
        <f>IFERROR(__xludf.DUMMYFUNCTION("IFERROR(IF(A214="""",""ENTER STOCK"",
  LET(
    raw_high, GOOGLEFINANCE(""NSE:"" &amp; A214, ""high"", TODAY()-365, TODAY()),
    high_date, IFERROR(TO_DATE(QUERY(raw_high, ""SELECT Col1 WHERE Col2 IS NOT NULL ORDER BY Col2 DESC LIMIT 1 LABEL Col1 ''"", 1"&amp;")), TODAY()-30),
    raw_data, IFERROR(GOOGLEFINANCE(""NSE:"" &amp; A214, ""close"", high_date, TODAY()), GOOGLEFINANCE(""NSE:"" &amp; A214,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14" s="7"/>
    </row>
    <row r="215">
      <c r="A215" s="8" t="s">
        <v>226</v>
      </c>
      <c r="B215" s="9">
        <v>1.1095733263E9</v>
      </c>
      <c r="C215" s="9">
        <v>1904.6</v>
      </c>
      <c r="D215" s="12">
        <f>IFERROR(__xludf.DUMMYFUNCTION("GOOGLEFINANCE(""NSE:""&amp;A215,""price"")"),1912.0)</f>
        <v>1912</v>
      </c>
      <c r="E215" s="13">
        <f>IFERROR(__xludf.DUMMYFUNCTION("IFERROR(AVERAGE(QUERY(SORT(GOOGLEFINANCE(""NSE:""&amp;A215,""price"",TODAY()-75,TODAY()),1,0),""select Col2 limit 50"")), """")"),1954.888000000001)</f>
        <v>1954.888</v>
      </c>
      <c r="F215" s="13">
        <f>IFERROR(__xludf.DUMMYFUNCTION("IFERROR(AVERAGE(QUERY(SORT(GOOGLEFINANCE(""NSE:""&amp;A215,""price"",TODAY()-150,TODAY()),1,0),""select Col2 limit 100"")), """")"),1678.2049999999997)</f>
        <v>1678.205</v>
      </c>
      <c r="G215" s="13">
        <f>IFERROR(__xludf.DUMMYFUNCTION("IFERROR(AVERAGE(QUERY(SORT(GOOGLEFINANCE(""NSE:""&amp;A215,""price"",TODAY()-300,TODAY()),1,0),""select Col2 limit 200"")), """")"),1480.4874999999997)</f>
        <v>1480.4875</v>
      </c>
      <c r="H215" s="15" t="str">
        <f t="shared" si="1"/>
        <v>Unconfirmed</v>
      </c>
      <c r="I215" s="16">
        <f t="shared" si="2"/>
        <v>29.14664933</v>
      </c>
      <c r="J215" s="7" t="str">
        <f>IFERROR(__xludf.DUMMYFUNCTION("IFERROR(IF(A215="""",""ENTER STOCK"",
  LET(
    raw_high, GOOGLEFINANCE(""NSE:"" &amp; A215, ""high"", TODAY()-365, TODAY()),
    high_date, IFERROR(TO_DATE(QUERY(raw_high, ""SELECT Col1 WHERE Col2 IS NOT NULL ORDER BY Col2 DESC LIMIT 1 LABEL Col1 ''"", 1"&amp;")), TODAY()-30),
    raw_data, IFERROR(GOOGLEFINANCE(""NSE:"" &amp; A215, ""close"", high_date, TODAY()), GOOGLEFINANCE(""NSE:"" &amp; A215,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15" s="7"/>
    </row>
    <row r="216">
      <c r="A216" s="8" t="s">
        <v>227</v>
      </c>
      <c r="B216" s="9">
        <v>1.0954748611E9</v>
      </c>
      <c r="C216" s="9">
        <v>1081.9</v>
      </c>
      <c r="D216" s="12">
        <f>IFERROR(__xludf.DUMMYFUNCTION("GOOGLEFINANCE(""NSE:""&amp;A216,""price"")"),1081.1)</f>
        <v>1081.1</v>
      </c>
      <c r="E216" s="13">
        <f>IFERROR(__xludf.DUMMYFUNCTION("IFERROR(AVERAGE(QUERY(SORT(GOOGLEFINANCE(""NSE:""&amp;A216,""price"",TODAY()-75,TODAY()),1,0),""select Col2 limit 50"")), """")"),1035.872)</f>
        <v>1035.872</v>
      </c>
      <c r="F216" s="13">
        <f>IFERROR(__xludf.DUMMYFUNCTION("IFERROR(AVERAGE(QUERY(SORT(GOOGLEFINANCE(""NSE:""&amp;A216,""price"",TODAY()-150,TODAY()),1,0),""select Col2 limit 100"")), """")"),1005.0249999999999)</f>
        <v>1005.025</v>
      </c>
      <c r="G216" s="13">
        <f>IFERROR(__xludf.DUMMYFUNCTION("IFERROR(AVERAGE(QUERY(SORT(GOOGLEFINANCE(""NSE:""&amp;A216,""price"",TODAY()-300,TODAY()),1,0),""select Col2 limit 200"")), """")"),981.2165000000001)</f>
        <v>981.2165</v>
      </c>
      <c r="H216" s="15" t="str">
        <f t="shared" si="1"/>
        <v>Unconfirmed</v>
      </c>
      <c r="I216" s="16">
        <f t="shared" si="2"/>
        <v>10.17955772</v>
      </c>
      <c r="J216" s="7" t="str">
        <f>IFERROR(__xludf.DUMMYFUNCTION("IFERROR(IF(A216="""",""ENTER STOCK"",
  LET(
    raw_high, GOOGLEFINANCE(""NSE:"" &amp; A216, ""high"", TODAY()-365, TODAY()),
    high_date, IFERROR(TO_DATE(QUERY(raw_high, ""SELECT Col1 WHERE Col2 IS NOT NULL ORDER BY Col2 DESC LIMIT 1 LABEL Col1 ''"", 1"&amp;")), TODAY()-30),
    raw_data, IFERROR(GOOGLEFINANCE(""NSE:"" &amp; A216, ""close"", high_date, TODAY()), GOOGLEFINANCE(""NSE:"" &amp; A216,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16" s="7"/>
    </row>
    <row r="217">
      <c r="A217" s="8" t="s">
        <v>228</v>
      </c>
      <c r="B217" s="9">
        <v>1.08619088636E9</v>
      </c>
      <c r="C217" s="9">
        <v>76.94</v>
      </c>
      <c r="D217" s="12">
        <f>IFERROR(__xludf.DUMMYFUNCTION("GOOGLEFINANCE(""NSE:""&amp;A217,""price"")"),76.69)</f>
        <v>76.69</v>
      </c>
      <c r="E217" s="13">
        <f>IFERROR(__xludf.DUMMYFUNCTION("IFERROR(AVERAGE(QUERY(SORT(GOOGLEFINANCE(""NSE:""&amp;A217,""price"",TODAY()-75,TODAY()),1,0),""select Col2 limit 50"")), """")"),76.4184)</f>
        <v>76.4184</v>
      </c>
      <c r="F217" s="13">
        <f>IFERROR(__xludf.DUMMYFUNCTION("IFERROR(AVERAGE(QUERY(SORT(GOOGLEFINANCE(""NSE:""&amp;A217,""price"",TODAY()-150,TODAY()),1,0),""select Col2 limit 100"")), """")"),68.36499999999998)</f>
        <v>68.365</v>
      </c>
      <c r="G217" s="13">
        <f>IFERROR(__xludf.DUMMYFUNCTION("IFERROR(AVERAGE(QUERY(SORT(GOOGLEFINANCE(""NSE:""&amp;A217,""price"",TODAY()-300,TODAY()),1,0),""select Col2 limit 200"")), """")"),61.644800000000004)</f>
        <v>61.6448</v>
      </c>
      <c r="H217" s="15" t="str">
        <f t="shared" si="1"/>
        <v>Unconfirmed</v>
      </c>
      <c r="I217" s="16">
        <f t="shared" si="2"/>
        <v>24.40627596</v>
      </c>
      <c r="J217" s="7" t="str">
        <f>IFERROR(__xludf.DUMMYFUNCTION("IFERROR(IF(A217="""",""ENTER STOCK"",
  LET(
    raw_high, GOOGLEFINANCE(""NSE:"" &amp; A217, ""high"", TODAY()-365, TODAY()),
    high_date, IFERROR(TO_DATE(QUERY(raw_high, ""SELECT Col1 WHERE Col2 IS NOT NULL ORDER BY Col2 DESC LIMIT 1 LABEL Col1 ''"", 1"&amp;")), TODAY()-30),
    raw_data, IFERROR(GOOGLEFINANCE(""NSE:"" &amp; A217, ""close"", high_date, TODAY()), GOOGLEFINANCE(""NSE:"" &amp; A217,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17" s="7"/>
    </row>
    <row r="218">
      <c r="A218" s="8" t="s">
        <v>229</v>
      </c>
      <c r="B218" s="9">
        <v>1.0811161267E9</v>
      </c>
      <c r="C218" s="9">
        <v>5700.0</v>
      </c>
      <c r="D218" s="12">
        <f>IFERROR(__xludf.DUMMYFUNCTION("GOOGLEFINANCE(""NSE:""&amp;A218,""price"")"),5691.0)</f>
        <v>5691</v>
      </c>
      <c r="E218" s="13">
        <f>IFERROR(__xludf.DUMMYFUNCTION("IFERROR(AVERAGE(QUERY(SORT(GOOGLEFINANCE(""NSE:""&amp;A218,""price"",TODAY()-75,TODAY()),1,0),""select Col2 limit 50"")), """")"),5270.672)</f>
        <v>5270.672</v>
      </c>
      <c r="F218" s="13">
        <f>IFERROR(__xludf.DUMMYFUNCTION("IFERROR(AVERAGE(QUERY(SORT(GOOGLEFINANCE(""NSE:""&amp;A218,""price"",TODAY()-150,TODAY()),1,0),""select Col2 limit 100"")), """")"),5035.7249999999985)</f>
        <v>5035.725</v>
      </c>
      <c r="G218" s="13">
        <f>IFERROR(__xludf.DUMMYFUNCTION("IFERROR(AVERAGE(QUERY(SORT(GOOGLEFINANCE(""NSE:""&amp;A218,""price"",TODAY()-300,TODAY()),1,0),""select Col2 limit 200"")), """")"),4670.245)</f>
        <v>4670.245</v>
      </c>
      <c r="H218" s="15" t="str">
        <f t="shared" si="1"/>
        <v>Unconfirmed</v>
      </c>
      <c r="I218" s="16">
        <f t="shared" si="2"/>
        <v>21.85656213</v>
      </c>
      <c r="J218" s="7" t="str">
        <f>IFERROR(__xludf.DUMMYFUNCTION("IFERROR(IF(A218="""",""ENTER STOCK"",
  LET(
    raw_high, GOOGLEFINANCE(""NSE:"" &amp; A218, ""high"", TODAY()-365, TODAY()),
    high_date, IFERROR(TO_DATE(QUERY(raw_high, ""SELECT Col1 WHERE Col2 IS NOT NULL ORDER BY Col2 DESC LIMIT 1 LABEL Col1 ''"", 1"&amp;")), TODAY()-30),
    raw_data, IFERROR(GOOGLEFINANCE(""NSE:"" &amp; A218, ""close"", high_date, TODAY()), GOOGLEFINANCE(""NSE:"" &amp; A218,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18" s="7"/>
    </row>
    <row r="219">
      <c r="A219" s="8" t="s">
        <v>230</v>
      </c>
      <c r="B219" s="9">
        <v>1.0779949425E9</v>
      </c>
      <c r="C219" s="9">
        <v>1298.0</v>
      </c>
      <c r="D219" s="12">
        <f>IFERROR(__xludf.DUMMYFUNCTION("GOOGLEFINANCE(""NSE:""&amp;A219,""price"")"),1298.0)</f>
        <v>1298</v>
      </c>
      <c r="E219" s="13">
        <f>IFERROR(__xludf.DUMMYFUNCTION("IFERROR(AVERAGE(QUERY(SORT(GOOGLEFINANCE(""NSE:""&amp;A219,""price"",TODAY()-75,TODAY()),1,0),""select Col2 limit 50"")), """")"),1208.1560000000004)</f>
        <v>1208.156</v>
      </c>
      <c r="F219" s="13">
        <f>IFERROR(__xludf.DUMMYFUNCTION("IFERROR(AVERAGE(QUERY(SORT(GOOGLEFINANCE(""NSE:""&amp;A219,""price"",TODAY()-150,TODAY()),1,0),""select Col2 limit 100"")), """")"),1221.7760000000003)</f>
        <v>1221.776</v>
      </c>
      <c r="G219" s="13">
        <f>IFERROR(__xludf.DUMMYFUNCTION("IFERROR(AVERAGE(QUERY(SORT(GOOGLEFINANCE(""NSE:""&amp;A219,""price"",TODAY()-300,TODAY()),1,0),""select Col2 limit 200"")), """")"),1315.2619999999997)</f>
        <v>1315.262</v>
      </c>
      <c r="H219" s="15" t="str">
        <f t="shared" si="1"/>
        <v>Unconfirmed</v>
      </c>
      <c r="I219" s="16">
        <f t="shared" si="2"/>
        <v>-1.31243813</v>
      </c>
      <c r="J219" s="7" t="str">
        <f>IFERROR(__xludf.DUMMYFUNCTION("IFERROR(IF(A219="""",""ENTER STOCK"",
  LET(
    raw_high, GOOGLEFINANCE(""NSE:"" &amp; A219, ""high"", TODAY()-365, TODAY()),
    high_date, IFERROR(TO_DATE(QUERY(raw_high, ""SELECT Col1 WHERE Col2 IS NOT NULL ORDER BY Col2 DESC LIMIT 1 LABEL Col1 ''"", 1"&amp;")), TODAY()-30),
    raw_data, IFERROR(GOOGLEFINANCE(""NSE:"" &amp; A219, ""close"", high_date, TODAY()), GOOGLEFINANCE(""NSE:"" &amp; A219,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19" s="7"/>
    </row>
    <row r="220">
      <c r="A220" s="8" t="s">
        <v>231</v>
      </c>
      <c r="B220" s="9">
        <v>1.0631217935E9</v>
      </c>
      <c r="C220" s="9">
        <v>3235.6</v>
      </c>
      <c r="D220" s="12">
        <f>IFERROR(__xludf.DUMMYFUNCTION("GOOGLEFINANCE(""NSE:""&amp;A220,""price"")"),3228.9)</f>
        <v>3228.9</v>
      </c>
      <c r="E220" s="13">
        <f>IFERROR(__xludf.DUMMYFUNCTION("IFERROR(AVERAGE(QUERY(SORT(GOOGLEFINANCE(""NSE:""&amp;A220,""price"",TODAY()-75,TODAY()),1,0),""select Col2 limit 50"")), """")"),3341.988)</f>
        <v>3341.988</v>
      </c>
      <c r="F220" s="13">
        <f>IFERROR(__xludf.DUMMYFUNCTION("IFERROR(AVERAGE(QUERY(SORT(GOOGLEFINANCE(""NSE:""&amp;A220,""price"",TODAY()-150,TODAY()),1,0),""select Col2 limit 100"")), """")"),2976.8349999999996)</f>
        <v>2976.835</v>
      </c>
      <c r="G220" s="13">
        <f>IFERROR(__xludf.DUMMYFUNCTION("IFERROR(AVERAGE(QUERY(SORT(GOOGLEFINANCE(""NSE:""&amp;A220,""price"",TODAY()-300,TODAY()),1,0),""select Col2 limit 200"")), """")"),2412.014500000001)</f>
        <v>2412.0145</v>
      </c>
      <c r="H220" s="15" t="str">
        <f t="shared" si="1"/>
        <v>Unconfirmed</v>
      </c>
      <c r="I220" s="16">
        <f t="shared" si="2"/>
        <v>33.86735445</v>
      </c>
      <c r="J220" s="7" t="str">
        <f>IFERROR(__xludf.DUMMYFUNCTION("IFERROR(IF(A220="""",""ENTER STOCK"",
  LET(
    raw_high, GOOGLEFINANCE(""NSE:"" &amp; A220, ""high"", TODAY()-365, TODAY()),
    high_date, IFERROR(TO_DATE(QUERY(raw_high, ""SELECT Col1 WHERE Col2 IS NOT NULL ORDER BY Col2 DESC LIMIT 1 LABEL Col1 ''"", 1"&amp;")), TODAY()-30),
    raw_data, IFERROR(GOOGLEFINANCE(""NSE:"" &amp; A220, ""close"", high_date, TODAY()), GOOGLEFINANCE(""NSE:"" &amp; A220,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20" s="7"/>
    </row>
    <row r="221">
      <c r="A221" s="8" t="s">
        <v>232</v>
      </c>
      <c r="B221" s="9">
        <v>1.0534719511E9</v>
      </c>
      <c r="C221" s="9">
        <v>1020.8</v>
      </c>
      <c r="D221" s="12">
        <f>IFERROR(__xludf.DUMMYFUNCTION("GOOGLEFINANCE(""NSE:""&amp;A221,""price"")"),1019.0)</f>
        <v>1019</v>
      </c>
      <c r="E221" s="13">
        <f>IFERROR(__xludf.DUMMYFUNCTION("IFERROR(AVERAGE(QUERY(SORT(GOOGLEFINANCE(""NSE:""&amp;A221,""price"",TODAY()-75,TODAY()),1,0),""select Col2 limit 50"")), """")"),979.9629999999997)</f>
        <v>979.963</v>
      </c>
      <c r="F221" s="13">
        <f>IFERROR(__xludf.DUMMYFUNCTION("IFERROR(AVERAGE(QUERY(SORT(GOOGLEFINANCE(""NSE:""&amp;A221,""price"",TODAY()-150,TODAY()),1,0),""select Col2 limit 100"")), """")"),924.3934999999997)</f>
        <v>924.3935</v>
      </c>
      <c r="G221" s="13">
        <f>IFERROR(__xludf.DUMMYFUNCTION("IFERROR(AVERAGE(QUERY(SORT(GOOGLEFINANCE(""NSE:""&amp;A221,""price"",TODAY()-300,TODAY()),1,0),""select Col2 limit 200"")), """")"),898.151)</f>
        <v>898.151</v>
      </c>
      <c r="H221" s="15" t="str">
        <f t="shared" si="1"/>
        <v>Unconfirmed</v>
      </c>
      <c r="I221" s="16">
        <f t="shared" si="2"/>
        <v>13.45530985</v>
      </c>
      <c r="J221" s="7" t="str">
        <f>IFERROR(__xludf.DUMMYFUNCTION("IFERROR(IF(A221="""",""ENTER STOCK"",
  LET(
    raw_high, GOOGLEFINANCE(""NSE:"" &amp; A221, ""high"", TODAY()-365, TODAY()),
    high_date, IFERROR(TO_DATE(QUERY(raw_high, ""SELECT Col1 WHERE Col2 IS NOT NULL ORDER BY Col2 DESC LIMIT 1 LABEL Col1 ''"", 1"&amp;")), TODAY()-30),
    raw_data, IFERROR(GOOGLEFINANCE(""NSE:"" &amp; A221, ""close"", high_date, TODAY()), GOOGLEFINANCE(""NSE:"" &amp; A221,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21" s="7"/>
    </row>
    <row r="222">
      <c r="A222" s="8" t="s">
        <v>233</v>
      </c>
      <c r="B222" s="9">
        <v>1.0461902632E9</v>
      </c>
      <c r="C222" s="9">
        <v>1873.3</v>
      </c>
      <c r="D222" s="12">
        <f>IFERROR(__xludf.DUMMYFUNCTION("GOOGLEFINANCE(""NSE:""&amp;A222,""price"")"),1868.0)</f>
        <v>1868</v>
      </c>
      <c r="E222" s="13">
        <f>IFERROR(__xludf.DUMMYFUNCTION("IFERROR(AVERAGE(QUERY(SORT(GOOGLEFINANCE(""NSE:""&amp;A222,""price"",TODAY()-75,TODAY()),1,0),""select Col2 limit 50"")), """")"),1580.1300000000003)</f>
        <v>1580.13</v>
      </c>
      <c r="F222" s="13">
        <f>IFERROR(__xludf.DUMMYFUNCTION("IFERROR(AVERAGE(QUERY(SORT(GOOGLEFINANCE(""NSE:""&amp;A222,""price"",TODAY()-150,TODAY()),1,0),""select Col2 limit 100"")), """")"),1363.191)</f>
        <v>1363.191</v>
      </c>
      <c r="G222" s="13">
        <f>IFERROR(__xludf.DUMMYFUNCTION("IFERROR(AVERAGE(QUERY(SORT(GOOGLEFINANCE(""NSE:""&amp;A222,""price"",TODAY()-300,TODAY()),1,0),""select Col2 limit 200"")), """")"),1092.5989999999995)</f>
        <v>1092.599</v>
      </c>
      <c r="H222" s="15" t="str">
        <f t="shared" si="1"/>
        <v>Unconfirmed</v>
      </c>
      <c r="I222" s="16">
        <f t="shared" si="2"/>
        <v>70.9684889</v>
      </c>
      <c r="J222" s="7" t="str">
        <f>IFERROR(__xludf.DUMMYFUNCTION("IFERROR(IF(A222="""",""ENTER STOCK"",
  LET(
    raw_high, GOOGLEFINANCE(""NSE:"" &amp; A222, ""high"", TODAY()-365, TODAY()),
    high_date, IFERROR(TO_DATE(QUERY(raw_high, ""SELECT Col1 WHERE Col2 IS NOT NULL ORDER BY Col2 DESC LIMIT 1 LABEL Col1 ''"", 1"&amp;")), TODAY()-30),
    raw_data, IFERROR(GOOGLEFINANCE(""NSE:"" &amp; A222, ""close"", high_date, TODAY()), GOOGLEFINANCE(""NSE:"" &amp; A222,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22" s="7"/>
    </row>
    <row r="223">
      <c r="A223" s="8" t="s">
        <v>234</v>
      </c>
      <c r="B223" s="9">
        <v>1.038491991E9</v>
      </c>
      <c r="C223" s="9">
        <v>298.05</v>
      </c>
      <c r="D223" s="12">
        <f>IFERROR(__xludf.DUMMYFUNCTION("GOOGLEFINANCE(""NSE:""&amp;A223,""price"")"),298.2)</f>
        <v>298.2</v>
      </c>
      <c r="E223" s="13">
        <f>IFERROR(__xludf.DUMMYFUNCTION("IFERROR(AVERAGE(QUERY(SORT(GOOGLEFINANCE(""NSE:""&amp;A223,""price"",TODAY()-75,TODAY()),1,0),""select Col2 limit 50"")), """")"),319.73999999999995)</f>
        <v>319.74</v>
      </c>
      <c r="F223" s="13">
        <f>IFERROR(__xludf.DUMMYFUNCTION("IFERROR(AVERAGE(QUERY(SORT(GOOGLEFINANCE(""NSE:""&amp;A223,""price"",TODAY()-150,TODAY()),1,0),""select Col2 limit 100"")), """")"),312.1504999999999)</f>
        <v>312.1505</v>
      </c>
      <c r="G223" s="13">
        <f>IFERROR(__xludf.DUMMYFUNCTION("IFERROR(AVERAGE(QUERY(SORT(GOOGLEFINANCE(""NSE:""&amp;A223,""price"",TODAY()-300,TODAY()),1,0),""select Col2 limit 200"")), """")"),305.3668500000001)</f>
        <v>305.36685</v>
      </c>
      <c r="H223" s="15" t="str">
        <f t="shared" si="1"/>
        <v>In Bear Run</v>
      </c>
      <c r="I223" s="16">
        <f t="shared" si="2"/>
        <v>-2.346963988</v>
      </c>
      <c r="J223" s="7" t="str">
        <f>IFERROR(__xludf.DUMMYFUNCTION("IFERROR(IF(A223="""",""ENTER STOCK"",
  LET(
    raw_high, GOOGLEFINANCE(""NSE:"" &amp; A223, ""high"", TODAY()-365, TODAY()),
    high_date, IFERROR(TO_DATE(QUERY(raw_high, ""SELECT Col1 WHERE Col2 IS NOT NULL ORDER BY Col2 DESC LIMIT 1 LABEL Col1 ''"", 1"&amp;")), TODAY()-30),
    raw_data, IFERROR(GOOGLEFINANCE(""NSE:"" &amp; A223, ""close"", high_date, TODAY()), GOOGLEFINANCE(""NSE:"" &amp; A223,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23" s="7"/>
    </row>
    <row r="224">
      <c r="A224" s="8" t="s">
        <v>235</v>
      </c>
      <c r="B224" s="9">
        <v>1.0168680622E9</v>
      </c>
      <c r="C224" s="9">
        <v>665.0</v>
      </c>
      <c r="D224" s="12">
        <f>IFERROR(__xludf.DUMMYFUNCTION("GOOGLEFINANCE(""NSE:""&amp;A224,""price"")"),665.4)</f>
        <v>665.4</v>
      </c>
      <c r="E224" s="13">
        <f>IFERROR(__xludf.DUMMYFUNCTION("IFERROR(AVERAGE(QUERY(SORT(GOOGLEFINANCE(""NSE:""&amp;A224,""price"",TODAY()-75,TODAY()),1,0),""select Col2 limit 50"")), """")"),640.271)</f>
        <v>640.271</v>
      </c>
      <c r="F224" s="13">
        <f>IFERROR(__xludf.DUMMYFUNCTION("IFERROR(AVERAGE(QUERY(SORT(GOOGLEFINANCE(""NSE:""&amp;A224,""price"",TODAY()-150,TODAY()),1,0),""select Col2 limit 100"")), """")"),607.2914999999999)</f>
        <v>607.2915</v>
      </c>
      <c r="G224" s="13">
        <f>IFERROR(__xludf.DUMMYFUNCTION("IFERROR(AVERAGE(QUERY(SORT(GOOGLEFINANCE(""NSE:""&amp;A224,""price"",TODAY()-300,TODAY()),1,0),""select Col2 limit 200"")), """")"),641.6279999999999)</f>
        <v>641.628</v>
      </c>
      <c r="H224" s="15" t="str">
        <f t="shared" si="1"/>
        <v>In Bull Run</v>
      </c>
      <c r="I224" s="16">
        <f t="shared" si="2"/>
        <v>3.704950532</v>
      </c>
      <c r="J224" s="7" t="str">
        <f>IFERROR(__xludf.DUMMYFUNCTION("IFERROR(IF(A224="""",""ENTER STOCK"",
  LET(
    raw_high, GOOGLEFINANCE(""NSE:"" &amp; A224, ""high"", TODAY()-365, TODAY()),
    high_date, IFERROR(TO_DATE(QUERY(raw_high, ""SELECT Col1 WHERE Col2 IS NOT NULL ORDER BY Col2 DESC LIMIT 1 LABEL Col1 ''"", 1"&amp;")), TODAY()-30),
    raw_data, IFERROR(GOOGLEFINANCE(""NSE:"" &amp; A224, ""close"", high_date, TODAY()), GOOGLEFINANCE(""NSE:"" &amp; A224,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24" s="7"/>
    </row>
    <row r="225">
      <c r="A225" s="8" t="s">
        <v>236</v>
      </c>
      <c r="B225" s="9">
        <v>1.0134802076E9</v>
      </c>
      <c r="C225" s="9">
        <v>1795.0</v>
      </c>
      <c r="D225" s="12">
        <f>IFERROR(__xludf.DUMMYFUNCTION("GOOGLEFINANCE(""NSE:""&amp;A225,""price"")"),1794.0)</f>
        <v>1794</v>
      </c>
      <c r="E225" s="13">
        <f>IFERROR(__xludf.DUMMYFUNCTION("IFERROR(AVERAGE(QUERY(SORT(GOOGLEFINANCE(""NSE:""&amp;A225,""price"",TODAY()-75,TODAY()),1,0),""select Col2 limit 50"")), """")"),1816.3540000000003)</f>
        <v>1816.354</v>
      </c>
      <c r="F225" s="13">
        <f>IFERROR(__xludf.DUMMYFUNCTION("IFERROR(AVERAGE(QUERY(SORT(GOOGLEFINANCE(""NSE:""&amp;A225,""price"",TODAY()-150,TODAY()),1,0),""select Col2 limit 100"")), """")"),1837.0719999999992)</f>
        <v>1837.072</v>
      </c>
      <c r="G225" s="13">
        <f>IFERROR(__xludf.DUMMYFUNCTION("IFERROR(AVERAGE(QUERY(SORT(GOOGLEFINANCE(""NSE:""&amp;A225,""price"",TODAY()-300,TODAY()),1,0),""select Col2 limit 200"")), """")"),1923.2860000000007)</f>
        <v>1923.286</v>
      </c>
      <c r="H225" s="15" t="str">
        <f t="shared" si="1"/>
        <v>In Bear Run</v>
      </c>
      <c r="I225" s="16">
        <f t="shared" si="2"/>
        <v>-6.722141169</v>
      </c>
      <c r="J225" s="7" t="str">
        <f>IFERROR(__xludf.DUMMYFUNCTION("IFERROR(IF(A225="""",""ENTER STOCK"",
  LET(
    raw_high, GOOGLEFINANCE(""NSE:"" &amp; A225, ""high"", TODAY()-365, TODAY()),
    high_date, IFERROR(TO_DATE(QUERY(raw_high, ""SELECT Col1 WHERE Col2 IS NOT NULL ORDER BY Col2 DESC LIMIT 1 LABEL Col1 ''"", 1"&amp;")), TODAY()-30),
    raw_data, IFERROR(GOOGLEFINANCE(""NSE:"" &amp; A225, ""close"", high_date, TODAY()), GOOGLEFINANCE(""NSE:"" &amp; A225,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25" s="7"/>
    </row>
    <row r="226">
      <c r="A226" s="8" t="s">
        <v>237</v>
      </c>
      <c r="B226" s="9">
        <v>1.012142731E9</v>
      </c>
      <c r="C226" s="9">
        <v>1522.6</v>
      </c>
      <c r="D226" s="12">
        <f>IFERROR(__xludf.DUMMYFUNCTION("GOOGLEFINANCE(""NSE:""&amp;A226,""price"")"),1524.0)</f>
        <v>1524</v>
      </c>
      <c r="E226" s="13">
        <f>IFERROR(__xludf.DUMMYFUNCTION("IFERROR(AVERAGE(QUERY(SORT(GOOGLEFINANCE(""NSE:""&amp;A226,""price"",TODAY()-75,TODAY()),1,0),""select Col2 limit 50"")), """")"),1221.0120000000004)</f>
        <v>1221.012</v>
      </c>
      <c r="F226" s="13">
        <f>IFERROR(__xludf.DUMMYFUNCTION("IFERROR(AVERAGE(QUERY(SORT(GOOGLEFINANCE(""NSE:""&amp;A226,""price"",TODAY()-150,TODAY()),1,0),""select Col2 limit 100"")), """")"),1070.8430000000005)</f>
        <v>1070.843</v>
      </c>
      <c r="G226" s="13">
        <f>IFERROR(__xludf.DUMMYFUNCTION("IFERROR(AVERAGE(QUERY(SORT(GOOGLEFINANCE(""NSE:""&amp;A226,""price"",TODAY()-300,TODAY()),1,0),""select Col2 limit 200"")), """")"),1000.7540000000001)</f>
        <v>1000.754</v>
      </c>
      <c r="H226" s="15" t="str">
        <f t="shared" si="1"/>
        <v>Unconfirmed</v>
      </c>
      <c r="I226" s="16">
        <f t="shared" si="2"/>
        <v>52.28517698</v>
      </c>
      <c r="J226" s="7" t="str">
        <f>IFERROR(__xludf.DUMMYFUNCTION("IFERROR(IF(A226="""",""ENTER STOCK"",
  LET(
    raw_high, GOOGLEFINANCE(""NSE:"" &amp; A226, ""high"", TODAY()-365, TODAY()),
    high_date, IFERROR(TO_DATE(QUERY(raw_high, ""SELECT Col1 WHERE Col2 IS NOT NULL ORDER BY Col2 DESC LIMIT 1 LABEL Col1 ''"", 1"&amp;")), TODAY()-30),
    raw_data, IFERROR(GOOGLEFINANCE(""NSE:"" &amp; A226, ""close"", high_date, TODAY()), GOOGLEFINANCE(""NSE:"" &amp; A226,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26" s="7"/>
    </row>
    <row r="227">
      <c r="A227" s="8" t="s">
        <v>238</v>
      </c>
      <c r="B227" s="9">
        <v>1.0067321726E9</v>
      </c>
      <c r="C227" s="9">
        <v>1321.9</v>
      </c>
      <c r="D227" s="12">
        <f>IFERROR(__xludf.DUMMYFUNCTION("GOOGLEFINANCE(""NSE:""&amp;A227,""price"")"),1319.1)</f>
        <v>1319.1</v>
      </c>
      <c r="E227" s="13">
        <f>IFERROR(__xludf.DUMMYFUNCTION("IFERROR(AVERAGE(QUERY(SORT(GOOGLEFINANCE(""NSE:""&amp;A227,""price"",TODAY()-75,TODAY()),1,0),""select Col2 limit 50"")), """")"),1200.91)</f>
        <v>1200.91</v>
      </c>
      <c r="F227" s="13">
        <f>IFERROR(__xludf.DUMMYFUNCTION("IFERROR(AVERAGE(QUERY(SORT(GOOGLEFINANCE(""NSE:""&amp;A227,""price"",TODAY()-150,TODAY()),1,0),""select Col2 limit 100"")), """")"),1118.2905000000005)</f>
        <v>1118.2905</v>
      </c>
      <c r="G227" s="13">
        <f>IFERROR(__xludf.DUMMYFUNCTION("IFERROR(AVERAGE(QUERY(SORT(GOOGLEFINANCE(""NSE:""&amp;A227,""price"",TODAY()-300,TODAY()),1,0),""select Col2 limit 200"")), """")"),1013.6277500000002)</f>
        <v>1013.62775</v>
      </c>
      <c r="H227" s="15" t="str">
        <f t="shared" si="1"/>
        <v>Unconfirmed</v>
      </c>
      <c r="I227" s="16">
        <f t="shared" si="2"/>
        <v>30.13653188</v>
      </c>
      <c r="J227" s="7" t="str">
        <f>IFERROR(__xludf.DUMMYFUNCTION("IFERROR(IF(A227="""",""ENTER STOCK"",
  LET(
    raw_high, GOOGLEFINANCE(""NSE:"" &amp; A227, ""high"", TODAY()-365, TODAY()),
    high_date, IFERROR(TO_DATE(QUERY(raw_high, ""SELECT Col1 WHERE Col2 IS NOT NULL ORDER BY Col2 DESC LIMIT 1 LABEL Col1 ''"", 1"&amp;")), TODAY()-30),
    raw_data, IFERROR(GOOGLEFINANCE(""NSE:"" &amp; A227, ""close"", high_date, TODAY()), GOOGLEFINANCE(""NSE:"" &amp; A227,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27" s="7"/>
    </row>
    <row r="228">
      <c r="A228" s="8" t="s">
        <v>239</v>
      </c>
      <c r="B228" s="9">
        <v>9.99877798E8</v>
      </c>
      <c r="C228" s="9">
        <v>8578.5</v>
      </c>
      <c r="D228" s="12">
        <f>IFERROR(__xludf.DUMMYFUNCTION("GOOGLEFINANCE(""NSE:""&amp;A228,""price"")"),8549.0)</f>
        <v>8549</v>
      </c>
      <c r="E228" s="13">
        <f>IFERROR(__xludf.DUMMYFUNCTION("IFERROR(AVERAGE(QUERY(SORT(GOOGLEFINANCE(""NSE:""&amp;A228,""price"",TODAY()-75,TODAY()),1,0),""select Col2 limit 50"")), """")"),9181.8)</f>
        <v>9181.8</v>
      </c>
      <c r="F228" s="13">
        <f>IFERROR(__xludf.DUMMYFUNCTION("IFERROR(AVERAGE(QUERY(SORT(GOOGLEFINANCE(""NSE:""&amp;A228,""price"",TODAY()-150,TODAY()),1,0),""select Col2 limit 100"")), """")"),7889.714634146339)</f>
        <v>7889.714634</v>
      </c>
      <c r="G228" s="13">
        <f>IFERROR(__xludf.DUMMYFUNCTION("IFERROR(AVERAGE(QUERY(SORT(GOOGLEFINANCE(""NSE:""&amp;A228,""price"",TODAY()-300,TODAY()),1,0),""select Col2 limit 200"")), """")"),7889.714634146339)</f>
        <v>7889.714634</v>
      </c>
      <c r="H228" s="15" t="str">
        <f t="shared" si="1"/>
        <v>Unconfirmed</v>
      </c>
      <c r="I228" s="16">
        <f t="shared" si="2"/>
        <v>8.356263774</v>
      </c>
      <c r="J228" s="7" t="str">
        <f>IFERROR(__xludf.DUMMYFUNCTION("IFERROR(IF(A228="""",""ENTER STOCK"",
  LET(
    raw_high, GOOGLEFINANCE(""NSE:"" &amp; A228, ""high"", TODAY()-365, TODAY()),
    high_date, IFERROR(TO_DATE(QUERY(raw_high, ""SELECT Col1 WHERE Col2 IS NOT NULL ORDER BY Col2 DESC LIMIT 1 LABEL Col1 ''"", 1"&amp;")), TODAY()-30),
    raw_data, IFERROR(GOOGLEFINANCE(""NSE:"" &amp; A228, ""close"", high_date, TODAY()), GOOGLEFINANCE(""NSE:"" &amp; A228,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28" s="7"/>
    </row>
    <row r="229">
      <c r="A229" s="8" t="s">
        <v>240</v>
      </c>
      <c r="B229" s="9">
        <v>9.971217945E8</v>
      </c>
      <c r="C229" s="9">
        <v>2682.0</v>
      </c>
      <c r="D229" s="12">
        <f>IFERROR(__xludf.DUMMYFUNCTION("GOOGLEFINANCE(""NSE:""&amp;A229,""price"")"),2678.0)</f>
        <v>2678</v>
      </c>
      <c r="E229" s="13">
        <f>IFERROR(__xludf.DUMMYFUNCTION("IFERROR(AVERAGE(QUERY(SORT(GOOGLEFINANCE(""NSE:""&amp;A229,""price"",TODAY()-75,TODAY()),1,0),""select Col2 limit 50"")), """")"),2852.9739999999993)</f>
        <v>2852.974</v>
      </c>
      <c r="F229" s="13">
        <f>IFERROR(__xludf.DUMMYFUNCTION("IFERROR(AVERAGE(QUERY(SORT(GOOGLEFINANCE(""NSE:""&amp;A229,""price"",TODAY()-150,TODAY()),1,0),""select Col2 limit 100"")), """")"),3019.368)</f>
        <v>3019.368</v>
      </c>
      <c r="G229" s="13">
        <f>IFERROR(__xludf.DUMMYFUNCTION("IFERROR(AVERAGE(QUERY(SORT(GOOGLEFINANCE(""NSE:""&amp;A229,""price"",TODAY()-300,TODAY()),1,0),""select Col2 limit 200"")), """")"),3001.8334999999975)</f>
        <v>3001.8335</v>
      </c>
      <c r="H229" s="15" t="str">
        <f t="shared" si="1"/>
        <v>Unconfirmed</v>
      </c>
      <c r="I229" s="16">
        <f t="shared" si="2"/>
        <v>-10.78785682</v>
      </c>
      <c r="J229" s="7" t="str">
        <f>IFERROR(__xludf.DUMMYFUNCTION("IFERROR(IF(A229="""",""ENTER STOCK"",
  LET(
    raw_high, GOOGLEFINANCE(""NSE:"" &amp; A229, ""high"", TODAY()-365, TODAY()),
    high_date, IFERROR(TO_DATE(QUERY(raw_high, ""SELECT Col1 WHERE Col2 IS NOT NULL ORDER BY Col2 DESC LIMIT 1 LABEL Col1 ''"", 1"&amp;")), TODAY()-30),
    raw_data, IFERROR(GOOGLEFINANCE(""NSE:"" &amp; A229, ""close"", high_date, TODAY()), GOOGLEFINANCE(""NSE:"" &amp; A229,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29" s="7"/>
    </row>
    <row r="230">
      <c r="A230" s="8" t="s">
        <v>241</v>
      </c>
      <c r="B230" s="9">
        <v>9.941872736E8</v>
      </c>
      <c r="C230" s="9">
        <v>282.95</v>
      </c>
      <c r="D230" s="12">
        <f>IFERROR(__xludf.DUMMYFUNCTION("GOOGLEFINANCE(""NSE:""&amp;A230,""price"")"),284.0)</f>
        <v>284</v>
      </c>
      <c r="E230" s="13">
        <f>IFERROR(__xludf.DUMMYFUNCTION("IFERROR(AVERAGE(QUERY(SORT(GOOGLEFINANCE(""NSE:""&amp;A230,""price"",TODAY()-75,TODAY()),1,0),""select Col2 limit 50"")), """")"),280.30303030303025)</f>
        <v>280.3030303</v>
      </c>
      <c r="F230" s="13">
        <f>IFERROR(__xludf.DUMMYFUNCTION("IFERROR(AVERAGE(QUERY(SORT(GOOGLEFINANCE(""NSE:""&amp;A230,""price"",TODAY()-150,TODAY()),1,0),""select Col2 limit 100"")), """")"),280.30303030303025)</f>
        <v>280.3030303</v>
      </c>
      <c r="G230" s="13">
        <f>IFERROR(__xludf.DUMMYFUNCTION("IFERROR(AVERAGE(QUERY(SORT(GOOGLEFINANCE(""NSE:""&amp;A230,""price"",TODAY()-300,TODAY()),1,0),""select Col2 limit 200"")), """")"),280.30303030303025)</f>
        <v>280.3030303</v>
      </c>
      <c r="H230" s="15" t="str">
        <f t="shared" si="1"/>
        <v>In Bull Run</v>
      </c>
      <c r="I230" s="16">
        <f t="shared" si="2"/>
        <v>1.318918919</v>
      </c>
      <c r="J230" s="7" t="str">
        <f>IFERROR(__xludf.DUMMYFUNCTION("IFERROR(IF(A230="""",""ENTER STOCK"",
  LET(
    raw_high, GOOGLEFINANCE(""NSE:"" &amp; A230, ""high"", TODAY()-365, TODAY()),
    high_date, IFERROR(TO_DATE(QUERY(raw_high, ""SELECT Col1 WHERE Col2 IS NOT NULL ORDER BY Col2 DESC LIMIT 1 LABEL Col1 ''"", 1"&amp;")), TODAY()-30),
    raw_data, IFERROR(GOOGLEFINANCE(""NSE:"" &amp; A230, ""close"", high_date, TODAY()), GOOGLEFINANCE(""NSE:"" &amp; A230,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30" s="7"/>
    </row>
    <row r="231">
      <c r="A231" s="8" t="s">
        <v>242</v>
      </c>
      <c r="B231" s="9">
        <v>9.9299038415E8</v>
      </c>
      <c r="C231" s="9">
        <v>633.0</v>
      </c>
      <c r="D231" s="12">
        <f>IFERROR(__xludf.DUMMYFUNCTION("GOOGLEFINANCE(""NSE:""&amp;A231,""price"")"),631.0)</f>
        <v>631</v>
      </c>
      <c r="E231" s="13">
        <f>IFERROR(__xludf.DUMMYFUNCTION("IFERROR(AVERAGE(QUERY(SORT(GOOGLEFINANCE(""NSE:""&amp;A231,""price"",TODAY()-75,TODAY()),1,0),""select Col2 limit 50"")), """")"),624.2930000000001)</f>
        <v>624.293</v>
      </c>
      <c r="F231" s="13">
        <f>IFERROR(__xludf.DUMMYFUNCTION("IFERROR(AVERAGE(QUERY(SORT(GOOGLEFINANCE(""NSE:""&amp;A231,""price"",TODAY()-150,TODAY()),1,0),""select Col2 limit 100"")), """")"),636.6415000000001)</f>
        <v>636.6415</v>
      </c>
      <c r="G231" s="13">
        <f>IFERROR(__xludf.DUMMYFUNCTION("IFERROR(AVERAGE(QUERY(SORT(GOOGLEFINANCE(""NSE:""&amp;A231,""price"",TODAY()-300,TODAY()),1,0),""select Col2 limit 200"")), """")"),731.2555000000002)</f>
        <v>731.2555</v>
      </c>
      <c r="H231" s="15" t="str">
        <f t="shared" si="1"/>
        <v>Unconfirmed</v>
      </c>
      <c r="I231" s="16">
        <f t="shared" si="2"/>
        <v>-13.71005073</v>
      </c>
      <c r="J231" s="7" t="str">
        <f>IFERROR(__xludf.DUMMYFUNCTION("IFERROR(IF(A231="""",""ENTER STOCK"",
  LET(
    raw_high, GOOGLEFINANCE(""NSE:"" &amp; A231, ""high"", TODAY()-365, TODAY()),
    high_date, IFERROR(TO_DATE(QUERY(raw_high, ""SELECT Col1 WHERE Col2 IS NOT NULL ORDER BY Col2 DESC LIMIT 1 LABEL Col1 ''"", 1"&amp;")), TODAY()-30),
    raw_data, IFERROR(GOOGLEFINANCE(""NSE:"" &amp; A231, ""close"", high_date, TODAY()), GOOGLEFINANCE(""NSE:"" &amp; A231,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31" s="7"/>
    </row>
    <row r="232">
      <c r="A232" s="8" t="s">
        <v>243</v>
      </c>
      <c r="B232" s="9">
        <v>9.8728552678E8</v>
      </c>
      <c r="C232" s="9">
        <v>249.64</v>
      </c>
      <c r="D232" s="12">
        <f>IFERROR(__xludf.DUMMYFUNCTION("GOOGLEFINANCE(""NSE:""&amp;A232,""price"")"),249.55)</f>
        <v>249.55</v>
      </c>
      <c r="E232" s="13">
        <f>IFERROR(__xludf.DUMMYFUNCTION("IFERROR(AVERAGE(QUERY(SORT(GOOGLEFINANCE(""NSE:""&amp;A232,""price"",TODAY()-75,TODAY()),1,0),""select Col2 limit 50"")), """")"),227.53439999999998)</f>
        <v>227.5344</v>
      </c>
      <c r="F232" s="13">
        <f>IFERROR(__xludf.DUMMYFUNCTION("IFERROR(AVERAGE(QUERY(SORT(GOOGLEFINANCE(""NSE:""&amp;A232,""price"",TODAY()-150,TODAY()),1,0),""select Col2 limit 100"")), """")"),199.9917)</f>
        <v>199.9917</v>
      </c>
      <c r="G232" s="13">
        <f>IFERROR(__xludf.DUMMYFUNCTION("IFERROR(AVERAGE(QUERY(SORT(GOOGLEFINANCE(""NSE:""&amp;A232,""price"",TODAY()-300,TODAY()),1,0),""select Col2 limit 200"")), """")"),175.41293413173662)</f>
        <v>175.4129341</v>
      </c>
      <c r="H232" s="15" t="str">
        <f t="shared" si="1"/>
        <v>Unconfirmed</v>
      </c>
      <c r="I232" s="16">
        <f t="shared" si="2"/>
        <v>42.26430978</v>
      </c>
      <c r="J232" s="7" t="str">
        <f>IFERROR(__xludf.DUMMYFUNCTION("IFERROR(IF(A232="""",""ENTER STOCK"",
  LET(
    raw_high, GOOGLEFINANCE(""NSE:"" &amp; A232, ""high"", TODAY()-365, TODAY()),
    high_date, IFERROR(TO_DATE(QUERY(raw_high, ""SELECT Col1 WHERE Col2 IS NOT NULL ORDER BY Col2 DESC LIMIT 1 LABEL Col1 ''"", 1"&amp;")), TODAY()-30),
    raw_data, IFERROR(GOOGLEFINANCE(""NSE:"" &amp; A232, ""close"", high_date, TODAY()), GOOGLEFINANCE(""NSE:"" &amp; A232,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32" s="7"/>
    </row>
    <row r="233">
      <c r="A233" s="8" t="s">
        <v>244</v>
      </c>
      <c r="B233" s="9">
        <v>9.840017155E8</v>
      </c>
      <c r="C233" s="9">
        <v>5310.0</v>
      </c>
      <c r="D233" s="12">
        <f>IFERROR(__xludf.DUMMYFUNCTION("GOOGLEFINANCE(""NSE:""&amp;A233,""price"")"),5315.0)</f>
        <v>5315</v>
      </c>
      <c r="E233" s="13">
        <f>IFERROR(__xludf.DUMMYFUNCTION("IFERROR(AVERAGE(QUERY(SORT(GOOGLEFINANCE(""NSE:""&amp;A233,""price"",TODAY()-75,TODAY()),1,0),""select Col2 limit 50"")), """")"),5142.2)</f>
        <v>5142.2</v>
      </c>
      <c r="F233" s="13">
        <f>IFERROR(__xludf.DUMMYFUNCTION("IFERROR(AVERAGE(QUERY(SORT(GOOGLEFINANCE(""NSE:""&amp;A233,""price"",TODAY()-150,TODAY()),1,0),""select Col2 limit 100"")), """")"),4763.8240000000005)</f>
        <v>4763.824</v>
      </c>
      <c r="G233" s="13">
        <f>IFERROR(__xludf.DUMMYFUNCTION("IFERROR(AVERAGE(QUERY(SORT(GOOGLEFINANCE(""NSE:""&amp;A233,""price"",TODAY()-300,TODAY()),1,0),""select Col2 limit 200"")), """")"),4936.3865)</f>
        <v>4936.3865</v>
      </c>
      <c r="H233" s="15" t="str">
        <f t="shared" si="1"/>
        <v>In Bull Run</v>
      </c>
      <c r="I233" s="16">
        <f t="shared" si="2"/>
        <v>7.669851216</v>
      </c>
      <c r="J233" s="7" t="str">
        <f>IFERROR(__xludf.DUMMYFUNCTION("IFERROR(IF(A233="""",""ENTER STOCK"",
  LET(
    raw_high, GOOGLEFINANCE(""NSE:"" &amp; A233, ""high"", TODAY()-365, TODAY()),
    high_date, IFERROR(TO_DATE(QUERY(raw_high, ""SELECT Col1 WHERE Col2 IS NOT NULL ORDER BY Col2 DESC LIMIT 1 LABEL Col1 ''"", 1"&amp;")), TODAY()-30),
    raw_data, IFERROR(GOOGLEFINANCE(""NSE:"" &amp; A233, ""close"", high_date, TODAY()), GOOGLEFINANCE(""NSE:"" &amp; A233,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233" s="7"/>
    </row>
    <row r="234">
      <c r="A234" s="8" t="s">
        <v>245</v>
      </c>
      <c r="B234" s="9">
        <v>9.8262537305E8</v>
      </c>
      <c r="C234" s="9">
        <v>706.95</v>
      </c>
      <c r="D234" s="12" t="str">
        <f>IFERROR(__xludf.DUMMYFUNCTION("GOOGLEFINANCE(""NSE:""&amp;A234,""price"")"),"#N/A")</f>
        <v>#N/A</v>
      </c>
      <c r="E234" s="13" t="str">
        <f>IFERROR(__xludf.DUMMYFUNCTION("IFERROR(AVERAGE(QUERY(SORT(GOOGLEFINANCE(""NSE:""&amp;A234,""price"",TODAY()-75,TODAY()),1,0),""select Col2 limit 50"")), """")"),"")</f>
        <v/>
      </c>
      <c r="F234" s="13" t="str">
        <f>IFERROR(__xludf.DUMMYFUNCTION("IFERROR(AVERAGE(QUERY(SORT(GOOGLEFINANCE(""NSE:""&amp;A234,""price"",TODAY()-150,TODAY()),1,0),""select Col2 limit 100"")), """")"),"")</f>
        <v/>
      </c>
      <c r="G234" s="13" t="str">
        <f>IFERROR(__xludf.DUMMYFUNCTION("IFERROR(AVERAGE(QUERY(SORT(GOOGLEFINANCE(""NSE:""&amp;A234,""price"",TODAY()-300,TODAY()),1,0),""select Col2 limit 200"")), """")"),"")</f>
        <v/>
      </c>
      <c r="H234" s="15" t="str">
        <f t="shared" si="1"/>
        <v>#N/A</v>
      </c>
      <c r="I234" s="16" t="str">
        <f t="shared" si="2"/>
        <v>#N/A</v>
      </c>
      <c r="J234" s="7" t="str">
        <f>IFERROR(__xludf.DUMMYFUNCTION("IFERROR(IF(A234="""",""ENTER STOCK"",
  LET(
    raw_high, GOOGLEFINANCE(""NSE:"" &amp; A234, ""high"", TODAY()-365, TODAY()),
    high_date, IFERROR(TO_DATE(QUERY(raw_high, ""SELECT Col1 WHERE Col2 IS NOT NULL ORDER BY Col2 DESC LIMIT 1 LABEL Col1 ''"", 1"&amp;")), TODAY()-30),
    raw_data, IFERROR(GOOGLEFINANCE(""NSE:"" &amp; A234, ""close"", high_date, TODAY()), GOOGLEFINANCE(""NSE:"" &amp; A234,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34" s="7"/>
    </row>
    <row r="235">
      <c r="A235" s="8" t="s">
        <v>246</v>
      </c>
      <c r="B235" s="9">
        <v>9.8079257215E8</v>
      </c>
      <c r="C235" s="9">
        <v>720.0</v>
      </c>
      <c r="D235" s="12">
        <f>IFERROR(__xludf.DUMMYFUNCTION("GOOGLEFINANCE(""NSE:""&amp;A235,""price"")"),720.0)</f>
        <v>720</v>
      </c>
      <c r="E235" s="13">
        <f>IFERROR(__xludf.DUMMYFUNCTION("IFERROR(AVERAGE(QUERY(SORT(GOOGLEFINANCE(""NSE:""&amp;A235,""price"",TODAY()-75,TODAY()),1,0),""select Col2 limit 50"")), """")"),720.189)</f>
        <v>720.189</v>
      </c>
      <c r="F235" s="13">
        <f>IFERROR(__xludf.DUMMYFUNCTION("IFERROR(AVERAGE(QUERY(SORT(GOOGLEFINANCE(""NSE:""&amp;A235,""price"",TODAY()-150,TODAY()),1,0),""select Col2 limit 100"")), """")"),679.8615)</f>
        <v>679.8615</v>
      </c>
      <c r="G235" s="13">
        <f>IFERROR(__xludf.DUMMYFUNCTION("IFERROR(AVERAGE(QUERY(SORT(GOOGLEFINANCE(""NSE:""&amp;A235,""price"",TODAY()-300,TODAY()),1,0),""select Col2 limit 200"")), """")"),689.77075)</f>
        <v>689.77075</v>
      </c>
      <c r="H235" s="15" t="str">
        <f t="shared" si="1"/>
        <v>Unconfirmed</v>
      </c>
      <c r="I235" s="16">
        <f t="shared" si="2"/>
        <v>4.382506797</v>
      </c>
      <c r="J235" s="7" t="str">
        <f>IFERROR(__xludf.DUMMYFUNCTION("IFERROR(IF(A235="""",""ENTER STOCK"",
  LET(
    raw_high, GOOGLEFINANCE(""NSE:"" &amp; A235, ""high"", TODAY()-365, TODAY()),
    high_date, IFERROR(TO_DATE(QUERY(raw_high, ""SELECT Col1 WHERE Col2 IS NOT NULL ORDER BY Col2 DESC LIMIT 1 LABEL Col1 ''"", 1"&amp;")), TODAY()-30),
    raw_data, IFERROR(GOOGLEFINANCE(""NSE:"" &amp; A235, ""close"", high_date, TODAY()), GOOGLEFINANCE(""NSE:"" &amp; A235,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235" s="7"/>
    </row>
    <row r="236">
      <c r="A236" s="8" t="s">
        <v>247</v>
      </c>
      <c r="B236" s="9">
        <v>9.7268951546E8</v>
      </c>
      <c r="C236" s="9">
        <v>36.87</v>
      </c>
      <c r="D236" s="12">
        <f>IFERROR(__xludf.DUMMYFUNCTION("GOOGLEFINANCE(""NSE:""&amp;A236,""price"")"),36.94)</f>
        <v>36.94</v>
      </c>
      <c r="E236" s="13">
        <f>IFERROR(__xludf.DUMMYFUNCTION("IFERROR(AVERAGE(QUERY(SORT(GOOGLEFINANCE(""NSE:""&amp;A236,""price"",TODAY()-75,TODAY()),1,0),""select Col2 limit 50"")), """")"),32.990227272727275)</f>
        <v>32.99022727</v>
      </c>
      <c r="F236" s="13">
        <f>IFERROR(__xludf.DUMMYFUNCTION("IFERROR(AVERAGE(QUERY(SORT(GOOGLEFINANCE(""NSE:""&amp;A236,""price"",TODAY()-150,TODAY()),1,0),""select Col2 limit 100"")), """")"),32.990227272727275)</f>
        <v>32.99022727</v>
      </c>
      <c r="G236" s="13">
        <f>IFERROR(__xludf.DUMMYFUNCTION("IFERROR(AVERAGE(QUERY(SORT(GOOGLEFINANCE(""NSE:""&amp;A236,""price"",TODAY()-300,TODAY()),1,0),""select Col2 limit 200"")), """")"),32.990227272727275)</f>
        <v>32.99022727</v>
      </c>
      <c r="H236" s="15" t="str">
        <f t="shared" si="1"/>
        <v>Unconfirmed</v>
      </c>
      <c r="I236" s="16">
        <f t="shared" si="2"/>
        <v>11.97255386</v>
      </c>
      <c r="J236" s="7" t="str">
        <f>IFERROR(__xludf.DUMMYFUNCTION("IFERROR(IF(A236="""",""ENTER STOCK"",
  LET(
    raw_high, GOOGLEFINANCE(""NSE:"" &amp; A236, ""high"", TODAY()-365, TODAY()),
    high_date, IFERROR(TO_DATE(QUERY(raw_high, ""SELECT Col1 WHERE Col2 IS NOT NULL ORDER BY Col2 DESC LIMIT 1 LABEL Col1 ''"", 1"&amp;")), TODAY()-30),
    raw_data, IFERROR(GOOGLEFINANCE(""NSE:"" &amp; A236, ""close"", high_date, TODAY()), GOOGLEFINANCE(""NSE:"" &amp; A236,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236" s="7"/>
    </row>
    <row r="237">
      <c r="A237" s="8" t="s">
        <v>248</v>
      </c>
      <c r="B237" s="9">
        <v>9.396594555E8</v>
      </c>
      <c r="C237" s="9">
        <v>2545.0</v>
      </c>
      <c r="D237" s="12">
        <f>IFERROR(__xludf.DUMMYFUNCTION("GOOGLEFINANCE(""NSE:""&amp;A237,""price"")"),2555.0)</f>
        <v>2555</v>
      </c>
      <c r="E237" s="13">
        <f>IFERROR(__xludf.DUMMYFUNCTION("IFERROR(AVERAGE(QUERY(SORT(GOOGLEFINANCE(""NSE:""&amp;A237,""price"",TODAY()-75,TODAY()),1,0),""select Col2 limit 50"")), """")"),2341.7200000000007)</f>
        <v>2341.72</v>
      </c>
      <c r="F237" s="13">
        <f>IFERROR(__xludf.DUMMYFUNCTION("IFERROR(AVERAGE(QUERY(SORT(GOOGLEFINANCE(""NSE:""&amp;A237,""price"",TODAY()-150,TODAY()),1,0),""select Col2 limit 100"")), """")"),2291.5800000000004)</f>
        <v>2291.58</v>
      </c>
      <c r="G237" s="13">
        <f>IFERROR(__xludf.DUMMYFUNCTION("IFERROR(AVERAGE(QUERY(SORT(GOOGLEFINANCE(""NSE:""&amp;A237,""price"",TODAY()-300,TODAY()),1,0),""select Col2 limit 200"")), """")"),2485.1920000000014)</f>
        <v>2485.192</v>
      </c>
      <c r="H237" s="15" t="str">
        <f t="shared" si="1"/>
        <v>In Bull Run</v>
      </c>
      <c r="I237" s="16">
        <f t="shared" si="2"/>
        <v>2.80895802</v>
      </c>
      <c r="J237" s="7" t="str">
        <f>IFERROR(__xludf.DUMMYFUNCTION("IFERROR(IF(A237="""",""ENTER STOCK"",
  LET(
    raw_high, GOOGLEFINANCE(""NSE:"" &amp; A237, ""high"", TODAY()-365, TODAY()),
    high_date, IFERROR(TO_DATE(QUERY(raw_high, ""SELECT Col1 WHERE Col2 IS NOT NULL ORDER BY Col2 DESC LIMIT 1 LABEL Col1 ''"", 1"&amp;")), TODAY()-30),
    raw_data, IFERROR(GOOGLEFINANCE(""NSE:"" &amp; A237, ""close"", high_date, TODAY()), GOOGLEFINANCE(""NSE:"" &amp; A237,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37" s="7"/>
    </row>
    <row r="238">
      <c r="A238" s="8" t="s">
        <v>249</v>
      </c>
      <c r="B238" s="9">
        <v>9.37264386E8</v>
      </c>
      <c r="C238" s="9">
        <v>468.5</v>
      </c>
      <c r="D238" s="12">
        <f>IFERROR(__xludf.DUMMYFUNCTION("GOOGLEFINANCE(""NSE:""&amp;A238,""price"")"),468.6)</f>
        <v>468.6</v>
      </c>
      <c r="E238" s="13">
        <f>IFERROR(__xludf.DUMMYFUNCTION("IFERROR(AVERAGE(QUERY(SORT(GOOGLEFINANCE(""NSE:""&amp;A238,""price"",TODAY()-75,TODAY()),1,0),""select Col2 limit 50"")), """")"),438.98099999999994)</f>
        <v>438.981</v>
      </c>
      <c r="F238" s="13">
        <f>IFERROR(__xludf.DUMMYFUNCTION("IFERROR(AVERAGE(QUERY(SORT(GOOGLEFINANCE(""NSE:""&amp;A238,""price"",TODAY()-150,TODAY()),1,0),""select Col2 limit 100"")), """")"),459.6154999999999)</f>
        <v>459.6155</v>
      </c>
      <c r="G238" s="13">
        <f>IFERROR(__xludf.DUMMYFUNCTION("IFERROR(AVERAGE(QUERY(SORT(GOOGLEFINANCE(""NSE:""&amp;A238,""price"",TODAY()-300,TODAY()),1,0),""select Col2 limit 200"")), """")"),451.08174999999994)</f>
        <v>451.08175</v>
      </c>
      <c r="H238" s="15" t="str">
        <f t="shared" si="1"/>
        <v>In Bull Run</v>
      </c>
      <c r="I238" s="16">
        <f t="shared" si="2"/>
        <v>3.883608681</v>
      </c>
      <c r="J238" s="7" t="str">
        <f>IFERROR(__xludf.DUMMYFUNCTION("IFERROR(IF(A238="""",""ENTER STOCK"",
  LET(
    raw_high, GOOGLEFINANCE(""NSE:"" &amp; A238, ""high"", TODAY()-365, TODAY()),
    high_date, IFERROR(TO_DATE(QUERY(raw_high, ""SELECT Col1 WHERE Col2 IS NOT NULL ORDER BY Col2 DESC LIMIT 1 LABEL Col1 ''"", 1"&amp;")), TODAY()-30),
    raw_data, IFERROR(GOOGLEFINANCE(""NSE:"" &amp; A238, ""close"", high_date, TODAY()), GOOGLEFINANCE(""NSE:"" &amp; A238,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38" s="7"/>
    </row>
    <row r="239">
      <c r="A239" s="8" t="s">
        <v>250</v>
      </c>
      <c r="B239" s="9">
        <v>9.3354138226E8</v>
      </c>
      <c r="C239" s="9">
        <v>167.83</v>
      </c>
      <c r="D239" s="12">
        <f>IFERROR(__xludf.DUMMYFUNCTION("GOOGLEFINANCE(""NSE:""&amp;A239,""price"")"),167.7)</f>
        <v>167.7</v>
      </c>
      <c r="E239" s="13">
        <f>IFERROR(__xludf.DUMMYFUNCTION("IFERROR(AVERAGE(QUERY(SORT(GOOGLEFINANCE(""NSE:""&amp;A239,""price"",TODAY()-75,TODAY()),1,0),""select Col2 limit 50"")), """")"),166.61959999999996)</f>
        <v>166.6196</v>
      </c>
      <c r="F239" s="13">
        <f>IFERROR(__xludf.DUMMYFUNCTION("IFERROR(AVERAGE(QUERY(SORT(GOOGLEFINANCE(""NSE:""&amp;A239,""price"",TODAY()-150,TODAY()),1,0),""select Col2 limit 100"")), """")"),169.88610000000006)</f>
        <v>169.8861</v>
      </c>
      <c r="G239" s="13">
        <f>IFERROR(__xludf.DUMMYFUNCTION("IFERROR(AVERAGE(QUERY(SORT(GOOGLEFINANCE(""NSE:""&amp;A239,""price"",TODAY()-300,TODAY()),1,0),""select Col2 limit 200"")), """")"),166.71485000000007)</f>
        <v>166.71485</v>
      </c>
      <c r="H239" s="15" t="str">
        <f t="shared" si="1"/>
        <v>Unconfirmed</v>
      </c>
      <c r="I239" s="16">
        <f t="shared" si="2"/>
        <v>0.5909191653</v>
      </c>
      <c r="J239" s="7" t="str">
        <f>IFERROR(__xludf.DUMMYFUNCTION("IFERROR(IF(A239="""",""ENTER STOCK"",
  LET(
    raw_high, GOOGLEFINANCE(""NSE:"" &amp; A239, ""high"", TODAY()-365, TODAY()),
    high_date, IFERROR(TO_DATE(QUERY(raw_high, ""SELECT Col1 WHERE Col2 IS NOT NULL ORDER BY Col2 DESC LIMIT 1 LABEL Col1 ''"", 1"&amp;")), TODAY()-30),
    raw_data, IFERROR(GOOGLEFINANCE(""NSE:"" &amp; A239, ""close"", high_date, TODAY()), GOOGLEFINANCE(""NSE:"" &amp; A239,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39" s="7"/>
    </row>
    <row r="240">
      <c r="A240" s="8" t="s">
        <v>251</v>
      </c>
      <c r="B240" s="9">
        <v>9.30857525E8</v>
      </c>
      <c r="C240" s="9">
        <v>1932.7</v>
      </c>
      <c r="D240" s="12">
        <f>IFERROR(__xludf.DUMMYFUNCTION("GOOGLEFINANCE(""NSE:""&amp;A240,""price"")"),1932.5)</f>
        <v>1932.5</v>
      </c>
      <c r="E240" s="13">
        <f>IFERROR(__xludf.DUMMYFUNCTION("IFERROR(AVERAGE(QUERY(SORT(GOOGLEFINANCE(""NSE:""&amp;A240,""price"",TODAY()-75,TODAY()),1,0),""select Col2 limit 50"")), """")"),1921.2079999999999)</f>
        <v>1921.208</v>
      </c>
      <c r="F240" s="13">
        <f>IFERROR(__xludf.DUMMYFUNCTION("IFERROR(AVERAGE(QUERY(SORT(GOOGLEFINANCE(""NSE:""&amp;A240,""price"",TODAY()-150,TODAY()),1,0),""select Col2 limit 100"")), """")"),1707.825)</f>
        <v>1707.825</v>
      </c>
      <c r="G240" s="13">
        <f>IFERROR(__xludf.DUMMYFUNCTION("IFERROR(AVERAGE(QUERY(SORT(GOOGLEFINANCE(""NSE:""&amp;A240,""price"",TODAY()-300,TODAY()),1,0),""select Col2 limit 200"")), """")"),1533.7170000000008)</f>
        <v>1533.717</v>
      </c>
      <c r="H240" s="15" t="str">
        <f t="shared" si="1"/>
        <v>Unconfirmed</v>
      </c>
      <c r="I240" s="16">
        <f t="shared" si="2"/>
        <v>26.00108103</v>
      </c>
      <c r="J240" s="7" t="str">
        <f>IFERROR(__xludf.DUMMYFUNCTION("IFERROR(IF(A240="""",""ENTER STOCK"",
  LET(
    raw_high, GOOGLEFINANCE(""NSE:"" &amp; A240, ""high"", TODAY()-365, TODAY()),
    high_date, IFERROR(TO_DATE(QUERY(raw_high, ""SELECT Col1 WHERE Col2 IS NOT NULL ORDER BY Col2 DESC LIMIT 1 LABEL Col1 ''"", 1"&amp;")), TODAY()-30),
    raw_data, IFERROR(GOOGLEFINANCE(""NSE:"" &amp; A240, ""close"", high_date, TODAY()), GOOGLEFINANCE(""NSE:"" &amp; A240,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40" s="7"/>
    </row>
    <row r="241">
      <c r="A241" s="8" t="s">
        <v>252</v>
      </c>
      <c r="B241" s="9">
        <v>9.275971081E8</v>
      </c>
      <c r="C241" s="9">
        <v>1536.0</v>
      </c>
      <c r="D241" s="12">
        <f>IFERROR(__xludf.DUMMYFUNCTION("GOOGLEFINANCE(""NSE:""&amp;A241,""price"")"),1532.2)</f>
        <v>1532.2</v>
      </c>
      <c r="E241" s="13">
        <f>IFERROR(__xludf.DUMMYFUNCTION("IFERROR(AVERAGE(QUERY(SORT(GOOGLEFINANCE(""NSE:""&amp;A241,""price"",TODAY()-75,TODAY()),1,0),""select Col2 limit 50"")), """")"),1402.7620000000002)</f>
        <v>1402.762</v>
      </c>
      <c r="F241" s="13">
        <f>IFERROR(__xludf.DUMMYFUNCTION("IFERROR(AVERAGE(QUERY(SORT(GOOGLEFINANCE(""NSE:""&amp;A241,""price"",TODAY()-150,TODAY()),1,0),""select Col2 limit 100"")), """")"),1346.5780000000002)</f>
        <v>1346.578</v>
      </c>
      <c r="G241" s="13">
        <f>IFERROR(__xludf.DUMMYFUNCTION("IFERROR(AVERAGE(QUERY(SORT(GOOGLEFINANCE(""NSE:""&amp;A241,""price"",TODAY()-300,TODAY()),1,0),""select Col2 limit 200"")), """")"),1369.7925)</f>
        <v>1369.7925</v>
      </c>
      <c r="H241" s="15" t="str">
        <f t="shared" si="1"/>
        <v>Unconfirmed</v>
      </c>
      <c r="I241" s="16">
        <f t="shared" si="2"/>
        <v>11.85635781</v>
      </c>
      <c r="J241" s="7" t="str">
        <f>IFERROR(__xludf.DUMMYFUNCTION("IFERROR(IF(A241="""",""ENTER STOCK"",
  LET(
    raw_high, GOOGLEFINANCE(""NSE:"" &amp; A241, ""high"", TODAY()-365, TODAY()),
    high_date, IFERROR(TO_DATE(QUERY(raw_high, ""SELECT Col1 WHERE Col2 IS NOT NULL ORDER BY Col2 DESC LIMIT 1 LABEL Col1 ''"", 1"&amp;")), TODAY()-30),
    raw_data, IFERROR(GOOGLEFINANCE(""NSE:"" &amp; A241, ""close"", high_date, TODAY()), GOOGLEFINANCE(""NSE:"" &amp; A241,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41" s="7"/>
    </row>
    <row r="242">
      <c r="A242" s="8" t="s">
        <v>253</v>
      </c>
      <c r="B242" s="9">
        <v>9.265713515E8</v>
      </c>
      <c r="C242" s="9">
        <v>1135.2</v>
      </c>
      <c r="D242" s="12">
        <f>IFERROR(__xludf.DUMMYFUNCTION("GOOGLEFINANCE(""NSE:""&amp;A242,""price"")"),1136.8)</f>
        <v>1136.8</v>
      </c>
      <c r="E242" s="13">
        <f>IFERROR(__xludf.DUMMYFUNCTION("IFERROR(AVERAGE(QUERY(SORT(GOOGLEFINANCE(""NSE:""&amp;A242,""price"",TODAY()-75,TODAY()),1,0),""select Col2 limit 50"")), """")"),1120.984)</f>
        <v>1120.984</v>
      </c>
      <c r="F242" s="13">
        <f>IFERROR(__xludf.DUMMYFUNCTION("IFERROR(AVERAGE(QUERY(SORT(GOOGLEFINANCE(""NSE:""&amp;A242,""price"",TODAY()-150,TODAY()),1,0),""select Col2 limit 100"")), """")"),1037.1129999999998)</f>
        <v>1037.113</v>
      </c>
      <c r="G242" s="13">
        <f>IFERROR(__xludf.DUMMYFUNCTION("IFERROR(AVERAGE(QUERY(SORT(GOOGLEFINANCE(""NSE:""&amp;A242,""price"",TODAY()-300,TODAY()),1,0),""select Col2 limit 200"")), """")"),979.0949999999996)</f>
        <v>979.095</v>
      </c>
      <c r="H242" s="15" t="str">
        <f t="shared" si="1"/>
        <v>Unconfirmed</v>
      </c>
      <c r="I242" s="16">
        <f t="shared" si="2"/>
        <v>16.10722146</v>
      </c>
      <c r="J242" s="7" t="str">
        <f>IFERROR(__xludf.DUMMYFUNCTION("IFERROR(IF(A242="""",""ENTER STOCK"",
  LET(
    raw_high, GOOGLEFINANCE(""NSE:"" &amp; A242, ""high"", TODAY()-365, TODAY()),
    high_date, IFERROR(TO_DATE(QUERY(raw_high, ""SELECT Col1 WHERE Col2 IS NOT NULL ORDER BY Col2 DESC LIMIT 1 LABEL Col1 ''"", 1"&amp;")), TODAY()-30),
    raw_data, IFERROR(GOOGLEFINANCE(""NSE:"" &amp; A242, ""close"", high_date, TODAY()), GOOGLEFINANCE(""NSE:"" &amp; A242,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42" s="7"/>
    </row>
    <row r="243">
      <c r="A243" s="8" t="s">
        <v>254</v>
      </c>
      <c r="B243" s="9">
        <v>9.2355534285E8</v>
      </c>
      <c r="C243" s="9">
        <v>309.65</v>
      </c>
      <c r="D243" s="12">
        <f>IFERROR(__xludf.DUMMYFUNCTION("GOOGLEFINANCE(""NSE:""&amp;A243,""price"")"),309.35)</f>
        <v>309.35</v>
      </c>
      <c r="E243" s="13">
        <f>IFERROR(__xludf.DUMMYFUNCTION("IFERROR(AVERAGE(QUERY(SORT(GOOGLEFINANCE(""NSE:""&amp;A243,""price"",TODAY()-75,TODAY()),1,0),""select Col2 limit 50"")), """")"),279.31100000000004)</f>
        <v>279.311</v>
      </c>
      <c r="F243" s="13">
        <f>IFERROR(__xludf.DUMMYFUNCTION("IFERROR(AVERAGE(QUERY(SORT(GOOGLEFINANCE(""NSE:""&amp;A243,""price"",TODAY()-150,TODAY()),1,0),""select Col2 limit 100"")), """")"),264.4853999999999)</f>
        <v>264.4854</v>
      </c>
      <c r="G243" s="13">
        <f>IFERROR(__xludf.DUMMYFUNCTION("IFERROR(AVERAGE(QUERY(SORT(GOOGLEFINANCE(""NSE:""&amp;A243,""price"",TODAY()-300,TODAY()),1,0),""select Col2 limit 200"")), """")"),231.1536)</f>
        <v>231.1536</v>
      </c>
      <c r="H243" s="15" t="str">
        <f t="shared" si="1"/>
        <v>Unconfirmed</v>
      </c>
      <c r="I243" s="16">
        <f t="shared" si="2"/>
        <v>33.82876148</v>
      </c>
      <c r="J243" s="7" t="str">
        <f>IFERROR(__xludf.DUMMYFUNCTION("IFERROR(IF(A243="""",""ENTER STOCK"",
  LET(
    raw_high, GOOGLEFINANCE(""NSE:"" &amp; A243, ""high"", TODAY()-365, TODAY()),
    high_date, IFERROR(TO_DATE(QUERY(raw_high, ""SELECT Col1 WHERE Col2 IS NOT NULL ORDER BY Col2 DESC LIMIT 1 LABEL Col1 ''"", 1"&amp;")), TODAY()-30),
    raw_data, IFERROR(GOOGLEFINANCE(""NSE:"" &amp; A243, ""close"", high_date, TODAY()), GOOGLEFINANCE(""NSE:"" &amp; A243,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43" s="7"/>
    </row>
    <row r="244">
      <c r="A244" s="8" t="s">
        <v>255</v>
      </c>
      <c r="B244" s="9">
        <v>9.2283793475E8</v>
      </c>
      <c r="C244" s="9">
        <v>629.95</v>
      </c>
      <c r="D244" s="12">
        <f>IFERROR(__xludf.DUMMYFUNCTION("GOOGLEFINANCE(""NSE:""&amp;A244,""price"")"),630.0)</f>
        <v>630</v>
      </c>
      <c r="E244" s="13">
        <f>IFERROR(__xludf.DUMMYFUNCTION("IFERROR(AVERAGE(QUERY(SORT(GOOGLEFINANCE(""NSE:""&amp;A244,""price"",TODAY()-75,TODAY()),1,0),""select Col2 limit 50"")), """")"),571.7829999999999)</f>
        <v>571.783</v>
      </c>
      <c r="F244" s="13">
        <f>IFERROR(__xludf.DUMMYFUNCTION("IFERROR(AVERAGE(QUERY(SORT(GOOGLEFINANCE(""NSE:""&amp;A244,""price"",TODAY()-150,TODAY()),1,0),""select Col2 limit 100"")), """")"),534.0345)</f>
        <v>534.0345</v>
      </c>
      <c r="G244" s="13">
        <f>IFERROR(__xludf.DUMMYFUNCTION("IFERROR(AVERAGE(QUERY(SORT(GOOGLEFINANCE(""NSE:""&amp;A244,""price"",TODAY()-300,TODAY()),1,0),""select Col2 limit 200"")), """")"),544.57825)</f>
        <v>544.57825</v>
      </c>
      <c r="H244" s="15" t="str">
        <f t="shared" si="1"/>
        <v>Unconfirmed</v>
      </c>
      <c r="I244" s="16">
        <f t="shared" si="2"/>
        <v>15.68585414</v>
      </c>
      <c r="J244" s="7" t="str">
        <f>IFERROR(__xludf.DUMMYFUNCTION("IFERROR(IF(A244="""",""ENTER STOCK"",
  LET(
    raw_high, GOOGLEFINANCE(""NSE:"" &amp; A244, ""high"", TODAY()-365, TODAY()),
    high_date, IFERROR(TO_DATE(QUERY(raw_high, ""SELECT Col1 WHERE Col2 IS NOT NULL ORDER BY Col2 DESC LIMIT 1 LABEL Col1 ''"", 1"&amp;")), TODAY()-30),
    raw_data, IFERROR(GOOGLEFINANCE(""NSE:"" &amp; A244, ""close"", high_date, TODAY()), GOOGLEFINANCE(""NSE:"" &amp; A244,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244" s="7"/>
    </row>
    <row r="245">
      <c r="A245" s="8" t="s">
        <v>256</v>
      </c>
      <c r="B245" s="9">
        <v>9.1630350435E8</v>
      </c>
      <c r="C245" s="9">
        <v>559.1</v>
      </c>
      <c r="D245" s="12">
        <f>IFERROR(__xludf.DUMMYFUNCTION("GOOGLEFINANCE(""NSE:""&amp;A245,""price"")"),559.05)</f>
        <v>559.05</v>
      </c>
      <c r="E245" s="13">
        <f>IFERROR(__xludf.DUMMYFUNCTION("IFERROR(AVERAGE(QUERY(SORT(GOOGLEFINANCE(""NSE:""&amp;A245,""price"",TODAY()-75,TODAY()),1,0),""select Col2 limit 50"")), """")"),576.6842105263158)</f>
        <v>576.6842105</v>
      </c>
      <c r="F245" s="13">
        <f>IFERROR(__xludf.DUMMYFUNCTION("IFERROR(AVERAGE(QUERY(SORT(GOOGLEFINANCE(""NSE:""&amp;A245,""price"",TODAY()-150,TODAY()),1,0),""select Col2 limit 100"")), """")"),576.6842105263158)</f>
        <v>576.6842105</v>
      </c>
      <c r="G245" s="13">
        <f>IFERROR(__xludf.DUMMYFUNCTION("IFERROR(AVERAGE(QUERY(SORT(GOOGLEFINANCE(""NSE:""&amp;A245,""price"",TODAY()-300,TODAY()),1,0),""select Col2 limit 200"")), """")"),576.6842105263158)</f>
        <v>576.6842105</v>
      </c>
      <c r="H245" s="15" t="str">
        <f t="shared" si="1"/>
        <v>In Bear Run</v>
      </c>
      <c r="I245" s="16">
        <f t="shared" si="2"/>
        <v>-3.057862554</v>
      </c>
      <c r="J245" s="7" t="str">
        <f>IFERROR(__xludf.DUMMYFUNCTION("IFERROR(IF(A245="""",""ENTER STOCK"",
  LET(
    raw_high, GOOGLEFINANCE(""NSE:"" &amp; A245, ""high"", TODAY()-365, TODAY()),
    high_date, IFERROR(TO_DATE(QUERY(raw_high, ""SELECT Col1 WHERE Col2 IS NOT NULL ORDER BY Col2 DESC LIMIT 1 LABEL Col1 ''"", 1"&amp;")), TODAY()-30),
    raw_data, IFERROR(GOOGLEFINANCE(""NSE:"" &amp; A245, ""close"", high_date, TODAY()), GOOGLEFINANCE(""NSE:"" &amp; A245,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45" s="7"/>
    </row>
    <row r="246">
      <c r="A246" s="8" t="s">
        <v>257</v>
      </c>
      <c r="B246" s="9">
        <v>9.1385421596E8</v>
      </c>
      <c r="C246" s="9">
        <v>89.15</v>
      </c>
      <c r="D246" s="12">
        <f>IFERROR(__xludf.DUMMYFUNCTION("GOOGLEFINANCE(""NSE:""&amp;A246,""price"")"),89.11)</f>
        <v>89.11</v>
      </c>
      <c r="E246" s="13">
        <f>IFERROR(__xludf.DUMMYFUNCTION("IFERROR(AVERAGE(QUERY(SORT(GOOGLEFINANCE(""NSE:""&amp;A246,""price"",TODAY()-75,TODAY()),1,0),""select Col2 limit 50"")), """")"),100.02159999999999)</f>
        <v>100.0216</v>
      </c>
      <c r="F246" s="13">
        <f>IFERROR(__xludf.DUMMYFUNCTION("IFERROR(AVERAGE(QUERY(SORT(GOOGLEFINANCE(""NSE:""&amp;A246,""price"",TODAY()-150,TODAY()),1,0),""select Col2 limit 100"")), """")"),96.03569999999999)</f>
        <v>96.0357</v>
      </c>
      <c r="G246" s="13">
        <f>IFERROR(__xludf.DUMMYFUNCTION("IFERROR(AVERAGE(QUERY(SORT(GOOGLEFINANCE(""NSE:""&amp;A246,""price"",TODAY()-300,TODAY()),1,0),""select Col2 limit 200"")), """")"),101.02044999999997)</f>
        <v>101.02045</v>
      </c>
      <c r="H246" s="15" t="str">
        <f t="shared" si="1"/>
        <v>Unconfirmed</v>
      </c>
      <c r="I246" s="16">
        <f t="shared" si="2"/>
        <v>-11.79013754</v>
      </c>
      <c r="J246" s="7" t="str">
        <f>IFERROR(__xludf.DUMMYFUNCTION("IFERROR(IF(A246="""",""ENTER STOCK"",
  LET(
    raw_high, GOOGLEFINANCE(""NSE:"" &amp; A246, ""high"", TODAY()-365, TODAY()),
    high_date, IFERROR(TO_DATE(QUERY(raw_high, ""SELECT Col1 WHERE Col2 IS NOT NULL ORDER BY Col2 DESC LIMIT 1 LABEL Col1 ''"", 1"&amp;")), TODAY()-30),
    raw_data, IFERROR(GOOGLEFINANCE(""NSE:"" &amp; A246, ""close"", high_date, TODAY()), GOOGLEFINANCE(""NSE:"" &amp; A246,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46" s="7"/>
    </row>
    <row r="247">
      <c r="A247" s="8" t="s">
        <v>258</v>
      </c>
      <c r="B247" s="9">
        <v>9.0783318738E8</v>
      </c>
      <c r="C247" s="9">
        <v>9.64</v>
      </c>
      <c r="D247" s="12">
        <f>IFERROR(__xludf.DUMMYFUNCTION("GOOGLEFINANCE(""NSE:""&amp;A247,""price"")"),9.66)</f>
        <v>9.66</v>
      </c>
      <c r="E247" s="13">
        <f>IFERROR(__xludf.DUMMYFUNCTION("IFERROR(AVERAGE(QUERY(SORT(GOOGLEFINANCE(""NSE:""&amp;A247,""price"",TODAY()-75,TODAY()),1,0),""select Col2 limit 50"")), """")"),9.4036)</f>
        <v>9.4036</v>
      </c>
      <c r="F247" s="13">
        <f>IFERROR(__xludf.DUMMYFUNCTION("IFERROR(AVERAGE(QUERY(SORT(GOOGLEFINANCE(""NSE:""&amp;A247,""price"",TODAY()-150,TODAY()),1,0),""select Col2 limit 100"")), """")"),9.161900000000005)</f>
        <v>9.1619</v>
      </c>
      <c r="G247" s="13">
        <f>IFERROR(__xludf.DUMMYFUNCTION("IFERROR(AVERAGE(QUERY(SORT(GOOGLEFINANCE(""NSE:""&amp;A247,""price"",TODAY()-300,TODAY()),1,0),""select Col2 limit 200"")), """")"),9.753650000000002)</f>
        <v>9.75365</v>
      </c>
      <c r="H247" s="15" t="str">
        <f t="shared" si="1"/>
        <v>Unconfirmed</v>
      </c>
      <c r="I247" s="16">
        <f t="shared" si="2"/>
        <v>-0.9601533785</v>
      </c>
      <c r="J247" s="7" t="str">
        <f>IFERROR(__xludf.DUMMYFUNCTION("IFERROR(IF(A247="""",""ENTER STOCK"",
  LET(
    raw_high, GOOGLEFINANCE(""NSE:"" &amp; A247, ""high"", TODAY()-365, TODAY()),
    high_date, IFERROR(TO_DATE(QUERY(raw_high, ""SELECT Col1 WHERE Col2 IS NOT NULL ORDER BY Col2 DESC LIMIT 1 LABEL Col1 ''"", 1"&amp;")), TODAY()-30),
    raw_data, IFERROR(GOOGLEFINANCE(""NSE:"" &amp; A247, ""close"", high_date, TODAY()), GOOGLEFINANCE(""NSE:"" &amp; A247,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47" s="7"/>
    </row>
    <row r="248">
      <c r="A248" s="8" t="s">
        <v>259</v>
      </c>
      <c r="B248" s="9">
        <v>9.0731004075E8</v>
      </c>
      <c r="C248" s="9">
        <v>865.2</v>
      </c>
      <c r="D248" s="12">
        <f>IFERROR(__xludf.DUMMYFUNCTION("GOOGLEFINANCE(""NSE:""&amp;A248,""price"")"),861.0)</f>
        <v>861</v>
      </c>
      <c r="E248" s="13">
        <f>IFERROR(__xludf.DUMMYFUNCTION("IFERROR(AVERAGE(QUERY(SORT(GOOGLEFINANCE(""NSE:""&amp;A248,""price"",TODAY()-75,TODAY()),1,0),""select Col2 limit 50"")), """")"),843.9040000000001)</f>
        <v>843.904</v>
      </c>
      <c r="F248" s="13">
        <f>IFERROR(__xludf.DUMMYFUNCTION("IFERROR(AVERAGE(QUERY(SORT(GOOGLEFINANCE(""NSE:""&amp;A248,""price"",TODAY()-150,TODAY()),1,0),""select Col2 limit 100"")), """")"),816.0105000000002)</f>
        <v>816.0105</v>
      </c>
      <c r="G248" s="13">
        <f>IFERROR(__xludf.DUMMYFUNCTION("IFERROR(AVERAGE(QUERY(SORT(GOOGLEFINANCE(""NSE:""&amp;A248,""price"",TODAY()-300,TODAY()),1,0),""select Col2 limit 200"")), """")"),781.8800000000003)</f>
        <v>781.88</v>
      </c>
      <c r="H248" s="15" t="str">
        <f t="shared" si="1"/>
        <v>Unconfirmed</v>
      </c>
      <c r="I248" s="16">
        <f t="shared" si="2"/>
        <v>10.11919988</v>
      </c>
      <c r="J248" s="7" t="str">
        <f>IFERROR(__xludf.DUMMYFUNCTION("IFERROR(IF(A248="""",""ENTER STOCK"",
  LET(
    raw_high, GOOGLEFINANCE(""NSE:"" &amp; A248, ""high"", TODAY()-365, TODAY()),
    high_date, IFERROR(TO_DATE(QUERY(raw_high, ""SELECT Col1 WHERE Col2 IS NOT NULL ORDER BY Col2 DESC LIMIT 1 LABEL Col1 ''"", 1"&amp;")), TODAY()-30),
    raw_data, IFERROR(GOOGLEFINANCE(""NSE:"" &amp; A248, ""close"", high_date, TODAY()), GOOGLEFINANCE(""NSE:"" &amp; A248,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48" s="7"/>
    </row>
    <row r="249">
      <c r="A249" s="8" t="s">
        <v>260</v>
      </c>
      <c r="B249" s="9">
        <v>8.950869609E8</v>
      </c>
      <c r="C249" s="9">
        <v>1990.0</v>
      </c>
      <c r="D249" s="12">
        <f>IFERROR(__xludf.DUMMYFUNCTION("GOOGLEFINANCE(""NSE:""&amp;A249,""price"")"),1994.0)</f>
        <v>1994</v>
      </c>
      <c r="E249" s="13">
        <f>IFERROR(__xludf.DUMMYFUNCTION("IFERROR(AVERAGE(QUERY(SORT(GOOGLEFINANCE(""NSE:""&amp;A249,""price"",TODAY()-75,TODAY()),1,0),""select Col2 limit 50"")), """")"),1964.1680000000006)</f>
        <v>1964.168</v>
      </c>
      <c r="F249" s="13">
        <f>IFERROR(__xludf.DUMMYFUNCTION("IFERROR(AVERAGE(QUERY(SORT(GOOGLEFINANCE(""NSE:""&amp;A249,""price"",TODAY()-150,TODAY()),1,0),""select Col2 limit 100"")), """")"),1839.8700000000006)</f>
        <v>1839.87</v>
      </c>
      <c r="G249" s="13">
        <f>IFERROR(__xludf.DUMMYFUNCTION("IFERROR(AVERAGE(QUERY(SORT(GOOGLEFINANCE(""NSE:""&amp;A249,""price"",TODAY()-300,TODAY()),1,0),""select Col2 limit 200"")), """")"),1889.2769999999996)</f>
        <v>1889.277</v>
      </c>
      <c r="H249" s="15" t="str">
        <f t="shared" si="1"/>
        <v>In Bull Run</v>
      </c>
      <c r="I249" s="16">
        <f t="shared" si="2"/>
        <v>5.543019896</v>
      </c>
      <c r="J249" s="7" t="str">
        <f>IFERROR(__xludf.DUMMYFUNCTION("IFERROR(IF(A249="""",""ENTER STOCK"",
  LET(
    raw_high, GOOGLEFINANCE(""NSE:"" &amp; A249, ""high"", TODAY()-365, TODAY()),
    high_date, IFERROR(TO_DATE(QUERY(raw_high, ""SELECT Col1 WHERE Col2 IS NOT NULL ORDER BY Col2 DESC LIMIT 1 LABEL Col1 ''"", 1"&amp;")), TODAY()-30),
    raw_data, IFERROR(GOOGLEFINANCE(""NSE:"" &amp; A249, ""close"", high_date, TODAY()), GOOGLEFINANCE(""NSE:"" &amp; A249,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FOUND"")"),"Buy/Average Out")</f>
        <v>Buy/Average Out</v>
      </c>
      <c r="K249" s="7"/>
    </row>
    <row r="250">
      <c r="A250" s="8" t="s">
        <v>261</v>
      </c>
      <c r="B250" s="9">
        <v>8.939629717E8</v>
      </c>
      <c r="C250" s="9">
        <v>4715.0</v>
      </c>
      <c r="D250" s="12">
        <f>IFERROR(__xludf.DUMMYFUNCTION("GOOGLEFINANCE(""NSE:""&amp;A250,""price"")"),4711.9)</f>
        <v>4711.9</v>
      </c>
      <c r="E250" s="13">
        <f>IFERROR(__xludf.DUMMYFUNCTION("IFERROR(AVERAGE(QUERY(SORT(GOOGLEFINANCE(""NSE:""&amp;A250,""price"",TODAY()-75,TODAY()),1,0),""select Col2 limit 50"")), """")"),4101.874000000002)</f>
        <v>4101.874</v>
      </c>
      <c r="F250" s="13">
        <f>IFERROR(__xludf.DUMMYFUNCTION("IFERROR(AVERAGE(QUERY(SORT(GOOGLEFINANCE(""NSE:""&amp;A250,""price"",TODAY()-150,TODAY()),1,0),""select Col2 limit 100"")), """")"),4191.336000000001)</f>
        <v>4191.336</v>
      </c>
      <c r="G250" s="13">
        <f>IFERROR(__xludf.DUMMYFUNCTION("IFERROR(AVERAGE(QUERY(SORT(GOOGLEFINANCE(""NSE:""&amp;A250,""price"",TODAY()-300,TODAY()),1,0),""select Col2 limit 200"")), """")"),4204.1318584070805)</f>
        <v>4204.131858</v>
      </c>
      <c r="H250" s="15" t="str">
        <f t="shared" si="1"/>
        <v>Unconfirmed</v>
      </c>
      <c r="I250" s="16">
        <f t="shared" si="2"/>
        <v>12.07783577</v>
      </c>
      <c r="J250" s="7" t="str">
        <f>IFERROR(__xludf.DUMMYFUNCTION("IFERROR(IF(A250="""",""ENTER STOCK"",
  LET(
    raw_high, GOOGLEFINANCE(""NSE:"" &amp; A250, ""high"", TODAY()-365, TODAY()),
    high_date, IFERROR(TO_DATE(QUERY(raw_high, ""SELECT Col1 WHERE Col2 IS NOT NULL ORDER BY Col2 DESC LIMIT 1 LABEL Col1 ''"", 1"&amp;")), TODAY()-30),
    raw_data, IFERROR(GOOGLEFINANCE(""NSE:"" &amp; A250, ""close"", high_date, TODAY()), GOOGLEFINANCE(""NSE:"" &amp; A250,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FOUND"")"),"Short History")</f>
        <v>Short History</v>
      </c>
      <c r="K250" s="7"/>
    </row>
    <row r="251">
      <c r="A251" s="8" t="s">
        <v>262</v>
      </c>
      <c r="B251" s="9">
        <v>8.8854812696E8</v>
      </c>
      <c r="C251" s="9">
        <v>22.67</v>
      </c>
      <c r="D251" s="12">
        <f>IFERROR(__xludf.DUMMYFUNCTION("GOOGLEFINANCE(""NSE:""&amp;A251,""price"")"),22.71)</f>
        <v>22.71</v>
      </c>
      <c r="E251" s="13">
        <f>IFERROR(__xludf.DUMMYFUNCTION("IFERROR(AVERAGE(QUERY(SORT(GOOGLEFINANCE(""NSE:""&amp;A251,""price"",TODAY()-75,TODAY()),1,0),""select Col2 limit 50"")), """")"),23.563399999999998)</f>
        <v>23.5634</v>
      </c>
      <c r="F251" s="13">
        <f>IFERROR(__xludf.DUMMYFUNCTION("IFERROR(AVERAGE(QUERY(SORT(GOOGLEFINANCE(""NSE:""&amp;A251,""price"",TODAY()-150,TODAY()),1,0),""select Col2 limit 100"")), """")"),22.027099999999997)</f>
        <v>22.0271</v>
      </c>
      <c r="G251" s="13">
        <f>IFERROR(__xludf.DUMMYFUNCTION("IFERROR(AVERAGE(QUERY(SORT(GOOGLEFINANCE(""NSE:""&amp;A251,""price"",TODAY()-300,TODAY()),1,0),""select Col2 limit 200"")), """")"),21.879149999999992)</f>
        <v>21.87915</v>
      </c>
      <c r="H251" s="15" t="str">
        <f t="shared" si="1"/>
        <v>Unconfirmed</v>
      </c>
      <c r="I251" s="16">
        <f t="shared" si="2"/>
        <v>3.797450998</v>
      </c>
      <c r="J251" s="7" t="str">
        <f>IFERROR(__xludf.DUMMYFUNCTION("IFERROR(IF(A251="""",""ENTER STOCK"",
  LET(
    raw_high, GOOGLEFINANCE(""NSE:"" &amp; A251, ""high"", TODAY()-365, TODAY()),
    high_date, IFERROR(TO_DATE(QUERY(raw_high, ""SELECT Col1 WHERE Col2 IS NOT NULL ORDER BY Col2 DESC LIMIT 1 LABEL Col1 ''"", 1"&amp;")), TODAY()-30),
    raw_data, IFERROR(GOOGLEFINANCE(""NSE:"" &amp; A251, ""close"", high_date, TODAY()), GOOGLEFINANCE(""NSE:"" &amp; A251, ""close"", TODAY()-10, TODAY())),
    prices, IFERROR(CHOOSEROWS(INDEX(raw_data, 0, 2), SEQUENCE(ROWS(raw_data)-1, 1, 2,"&amp;" 1)), {0}),
    count_rows, ROWS(prices),
    cum_avg, SCAN(0, SEQUENCE(count_rows), LAMBDA(a,n, AVERAGE(CHOOSEROWS(prices, SEQUENCE(n))))),
    last_10, IF(count_rows &lt; 10, {0;0;0;0;0;0;0;0;0;0}, CHOOSEROWS(cum_avg, SEQUENCE(10, 1, count_rows - 9, 1))"&amp;"),
 check, SUMPRODUCT(--(CHOOSEROWS(last_10, SEQUENCE(9, 1, 2, 1)) &gt; CHOOSEROWS(last_10, SEQUENCE(9, 1, 1, 1)))),
    IF(count_rows &lt; 10, ""Short History"", IF(check = 9, ""Buy/Average Out"", ""Avoid/Hold""))
  )
), ""TICKER NOT FOUND"")"),"Avoid/Hold")</f>
        <v>Avoid/Hold</v>
      </c>
      <c r="K251" s="7"/>
    </row>
    <row r="252">
      <c r="E252" s="18"/>
      <c r="F252" s="18"/>
      <c r="G252" s="18"/>
      <c r="I252" s="19"/>
    </row>
    <row r="253">
      <c r="E253" s="18"/>
      <c r="F253" s="18"/>
      <c r="G253" s="18"/>
      <c r="I253" s="19"/>
    </row>
    <row r="254">
      <c r="E254" s="18"/>
      <c r="F254" s="18"/>
      <c r="G254" s="18"/>
      <c r="I254" s="19"/>
    </row>
    <row r="255">
      <c r="E255" s="18"/>
      <c r="F255" s="18"/>
      <c r="G255" s="18"/>
      <c r="I255" s="19"/>
    </row>
    <row r="256">
      <c r="E256" s="18"/>
      <c r="F256" s="18"/>
      <c r="G256" s="18"/>
      <c r="I256" s="19"/>
    </row>
    <row r="257">
      <c r="E257" s="18"/>
      <c r="F257" s="18"/>
      <c r="G257" s="18"/>
      <c r="I257" s="19"/>
    </row>
    <row r="258">
      <c r="E258" s="18"/>
      <c r="F258" s="18"/>
      <c r="G258" s="18"/>
      <c r="I258" s="19"/>
    </row>
    <row r="259">
      <c r="E259" s="18"/>
      <c r="F259" s="18"/>
      <c r="G259" s="18"/>
      <c r="I259" s="19"/>
    </row>
    <row r="260">
      <c r="E260" s="18"/>
      <c r="F260" s="18"/>
      <c r="G260" s="18"/>
      <c r="I260" s="19"/>
    </row>
    <row r="261">
      <c r="E261" s="18"/>
      <c r="F261" s="18"/>
      <c r="G261" s="18"/>
      <c r="I261" s="19"/>
    </row>
    <row r="262">
      <c r="E262" s="18"/>
      <c r="F262" s="18"/>
      <c r="G262" s="18"/>
      <c r="I262" s="19"/>
    </row>
    <row r="263">
      <c r="E263" s="18"/>
      <c r="F263" s="18"/>
      <c r="G263" s="18"/>
      <c r="I263" s="19"/>
    </row>
    <row r="264">
      <c r="E264" s="18"/>
      <c r="F264" s="18"/>
      <c r="G264" s="18"/>
      <c r="I264" s="19"/>
    </row>
    <row r="265">
      <c r="E265" s="18"/>
      <c r="F265" s="18"/>
      <c r="G265" s="18"/>
      <c r="I265" s="19"/>
    </row>
    <row r="266">
      <c r="E266" s="18"/>
      <c r="F266" s="18"/>
      <c r="G266" s="18"/>
      <c r="I266" s="19"/>
    </row>
    <row r="267">
      <c r="E267" s="18"/>
      <c r="F267" s="18"/>
      <c r="G267" s="18"/>
      <c r="I267" s="19"/>
    </row>
    <row r="268">
      <c r="E268" s="18"/>
      <c r="F268" s="18"/>
      <c r="G268" s="18"/>
      <c r="I268" s="19"/>
    </row>
    <row r="269">
      <c r="E269" s="18"/>
      <c r="F269" s="18"/>
      <c r="G269" s="18"/>
      <c r="I269" s="19"/>
    </row>
    <row r="270">
      <c r="E270" s="18"/>
      <c r="F270" s="18"/>
      <c r="G270" s="18"/>
      <c r="I270" s="19"/>
    </row>
    <row r="271">
      <c r="E271" s="18"/>
      <c r="F271" s="18"/>
      <c r="G271" s="18"/>
      <c r="I271" s="19"/>
    </row>
    <row r="272">
      <c r="E272" s="18"/>
      <c r="F272" s="18"/>
      <c r="G272" s="18"/>
      <c r="I272" s="19"/>
    </row>
    <row r="273">
      <c r="E273" s="18"/>
      <c r="F273" s="18"/>
      <c r="G273" s="18"/>
      <c r="I273" s="19"/>
    </row>
    <row r="274">
      <c r="E274" s="18"/>
      <c r="F274" s="18"/>
      <c r="G274" s="18"/>
      <c r="I274" s="19"/>
    </row>
    <row r="275">
      <c r="E275" s="18"/>
      <c r="F275" s="18"/>
      <c r="G275" s="18"/>
      <c r="I275" s="19"/>
    </row>
    <row r="276">
      <c r="E276" s="18"/>
      <c r="F276" s="18"/>
      <c r="G276" s="18"/>
      <c r="I276" s="19"/>
    </row>
    <row r="277">
      <c r="E277" s="18"/>
      <c r="F277" s="18"/>
      <c r="G277" s="18"/>
      <c r="I277" s="19"/>
    </row>
    <row r="278">
      <c r="E278" s="18"/>
      <c r="F278" s="18"/>
      <c r="G278" s="18"/>
      <c r="I278" s="19"/>
    </row>
    <row r="279">
      <c r="E279" s="18"/>
      <c r="F279" s="18"/>
      <c r="G279" s="18"/>
      <c r="I279" s="19"/>
    </row>
    <row r="280">
      <c r="E280" s="18"/>
      <c r="F280" s="18"/>
      <c r="G280" s="18"/>
      <c r="I280" s="19"/>
    </row>
    <row r="281">
      <c r="E281" s="18"/>
      <c r="F281" s="18"/>
      <c r="G281" s="18"/>
      <c r="I281" s="19"/>
    </row>
    <row r="282">
      <c r="E282" s="18"/>
      <c r="F282" s="18"/>
      <c r="G282" s="18"/>
      <c r="I282" s="19"/>
    </row>
    <row r="283">
      <c r="E283" s="18"/>
      <c r="F283" s="18"/>
      <c r="G283" s="18"/>
      <c r="I283" s="19"/>
    </row>
    <row r="284">
      <c r="E284" s="18"/>
      <c r="F284" s="18"/>
      <c r="G284" s="18"/>
      <c r="I284" s="19"/>
    </row>
    <row r="285">
      <c r="E285" s="18"/>
      <c r="F285" s="18"/>
      <c r="G285" s="18"/>
      <c r="I285" s="19"/>
    </row>
    <row r="286">
      <c r="E286" s="18"/>
      <c r="F286" s="18"/>
      <c r="G286" s="18"/>
      <c r="I286" s="19"/>
    </row>
    <row r="287">
      <c r="E287" s="18"/>
      <c r="F287" s="18"/>
      <c r="G287" s="18"/>
      <c r="I287" s="19"/>
    </row>
    <row r="288">
      <c r="E288" s="18"/>
      <c r="F288" s="18"/>
      <c r="G288" s="18"/>
      <c r="I288" s="19"/>
    </row>
    <row r="289">
      <c r="E289" s="18"/>
      <c r="F289" s="18"/>
      <c r="G289" s="18"/>
      <c r="I289" s="19"/>
    </row>
    <row r="290">
      <c r="E290" s="18"/>
      <c r="F290" s="18"/>
      <c r="G290" s="18"/>
      <c r="I290" s="19"/>
    </row>
    <row r="291">
      <c r="E291" s="18"/>
      <c r="F291" s="18"/>
      <c r="G291" s="18"/>
      <c r="I291" s="19"/>
    </row>
    <row r="292">
      <c r="E292" s="18"/>
      <c r="F292" s="18"/>
      <c r="G292" s="18"/>
      <c r="I292" s="19"/>
    </row>
    <row r="293">
      <c r="E293" s="18"/>
      <c r="F293" s="18"/>
      <c r="G293" s="18"/>
      <c r="I293" s="19"/>
    </row>
    <row r="294">
      <c r="E294" s="18"/>
      <c r="F294" s="18"/>
      <c r="G294" s="18"/>
      <c r="I294" s="19"/>
    </row>
    <row r="295">
      <c r="E295" s="18"/>
      <c r="F295" s="18"/>
      <c r="G295" s="18"/>
      <c r="I295" s="19"/>
    </row>
    <row r="296">
      <c r="E296" s="18"/>
      <c r="F296" s="18"/>
      <c r="G296" s="18"/>
      <c r="I296" s="19"/>
    </row>
    <row r="297">
      <c r="E297" s="18"/>
      <c r="F297" s="18"/>
      <c r="G297" s="18"/>
      <c r="I297" s="19"/>
    </row>
    <row r="298">
      <c r="E298" s="18"/>
      <c r="F298" s="18"/>
      <c r="G298" s="18"/>
      <c r="I298" s="19"/>
    </row>
    <row r="299">
      <c r="E299" s="18"/>
      <c r="F299" s="18"/>
      <c r="G299" s="18"/>
      <c r="I299" s="19"/>
    </row>
    <row r="300">
      <c r="E300" s="18"/>
      <c r="F300" s="18"/>
      <c r="G300" s="18"/>
      <c r="I300" s="19"/>
    </row>
    <row r="301">
      <c r="E301" s="18"/>
      <c r="F301" s="18"/>
      <c r="G301" s="18"/>
      <c r="I301" s="19"/>
    </row>
    <row r="302">
      <c r="E302" s="18"/>
      <c r="F302" s="18"/>
      <c r="G302" s="18"/>
      <c r="I302" s="19"/>
    </row>
    <row r="303">
      <c r="E303" s="18"/>
      <c r="F303" s="18"/>
      <c r="G303" s="18"/>
      <c r="I303" s="19"/>
    </row>
    <row r="304">
      <c r="E304" s="18"/>
      <c r="F304" s="18"/>
      <c r="G304" s="18"/>
      <c r="I304" s="19"/>
    </row>
    <row r="305">
      <c r="E305" s="18"/>
      <c r="F305" s="18"/>
      <c r="G305" s="18"/>
      <c r="I305" s="19"/>
    </row>
    <row r="306">
      <c r="E306" s="18"/>
      <c r="F306" s="18"/>
      <c r="G306" s="18"/>
      <c r="I306" s="19"/>
    </row>
    <row r="307">
      <c r="E307" s="18"/>
      <c r="F307" s="18"/>
      <c r="G307" s="18"/>
      <c r="I307" s="19"/>
    </row>
    <row r="308">
      <c r="E308" s="18"/>
      <c r="F308" s="18"/>
      <c r="G308" s="18"/>
      <c r="I308" s="19"/>
    </row>
    <row r="309">
      <c r="E309" s="18"/>
      <c r="F309" s="18"/>
      <c r="G309" s="18"/>
      <c r="I309" s="19"/>
    </row>
    <row r="310">
      <c r="E310" s="18"/>
      <c r="F310" s="18"/>
      <c r="G310" s="18"/>
      <c r="I310" s="19"/>
    </row>
    <row r="311">
      <c r="E311" s="18"/>
      <c r="F311" s="18"/>
      <c r="G311" s="18"/>
      <c r="I311" s="19"/>
    </row>
    <row r="312">
      <c r="E312" s="18"/>
      <c r="F312" s="18"/>
      <c r="G312" s="18"/>
      <c r="I312" s="19"/>
    </row>
    <row r="313">
      <c r="E313" s="18"/>
      <c r="F313" s="18"/>
      <c r="G313" s="18"/>
      <c r="I313" s="19"/>
    </row>
    <row r="314">
      <c r="E314" s="18"/>
      <c r="F314" s="18"/>
      <c r="G314" s="18"/>
      <c r="I314" s="19"/>
    </row>
    <row r="315">
      <c r="E315" s="18"/>
      <c r="F315" s="18"/>
      <c r="G315" s="18"/>
      <c r="I315" s="19"/>
    </row>
    <row r="316">
      <c r="E316" s="18"/>
      <c r="F316" s="18"/>
      <c r="G316" s="18"/>
      <c r="I316" s="19"/>
    </row>
    <row r="317">
      <c r="E317" s="18"/>
      <c r="F317" s="18"/>
      <c r="G317" s="18"/>
      <c r="I317" s="19"/>
    </row>
    <row r="318">
      <c r="E318" s="18"/>
      <c r="F318" s="18"/>
      <c r="G318" s="18"/>
      <c r="I318" s="19"/>
    </row>
    <row r="319">
      <c r="E319" s="18"/>
      <c r="F319" s="18"/>
      <c r="G319" s="18"/>
      <c r="I319" s="19"/>
    </row>
    <row r="320">
      <c r="E320" s="18"/>
      <c r="F320" s="18"/>
      <c r="G320" s="18"/>
      <c r="I320" s="19"/>
    </row>
    <row r="321">
      <c r="E321" s="18"/>
      <c r="F321" s="18"/>
      <c r="G321" s="18"/>
      <c r="I321" s="19"/>
    </row>
    <row r="322">
      <c r="E322" s="18"/>
      <c r="F322" s="18"/>
      <c r="G322" s="18"/>
      <c r="I322" s="19"/>
    </row>
    <row r="323">
      <c r="E323" s="18"/>
      <c r="F323" s="18"/>
      <c r="G323" s="18"/>
      <c r="I323" s="19"/>
    </row>
    <row r="324">
      <c r="E324" s="18"/>
      <c r="F324" s="18"/>
      <c r="G324" s="18"/>
      <c r="I324" s="19"/>
    </row>
    <row r="325">
      <c r="E325" s="18"/>
      <c r="F325" s="18"/>
      <c r="G325" s="18"/>
      <c r="I325" s="19"/>
    </row>
    <row r="326">
      <c r="E326" s="18"/>
      <c r="F326" s="18"/>
      <c r="G326" s="18"/>
      <c r="I326" s="19"/>
    </row>
    <row r="327">
      <c r="E327" s="18"/>
      <c r="F327" s="18"/>
      <c r="G327" s="18"/>
      <c r="I327" s="19"/>
    </row>
    <row r="328">
      <c r="E328" s="18"/>
      <c r="F328" s="18"/>
      <c r="G328" s="18"/>
      <c r="I328" s="19"/>
    </row>
    <row r="329">
      <c r="E329" s="18"/>
      <c r="F329" s="18"/>
      <c r="G329" s="18"/>
      <c r="I329" s="19"/>
    </row>
    <row r="330">
      <c r="E330" s="18"/>
      <c r="F330" s="18"/>
      <c r="G330" s="18"/>
      <c r="I330" s="19"/>
    </row>
    <row r="331">
      <c r="E331" s="18"/>
      <c r="F331" s="18"/>
      <c r="G331" s="18"/>
      <c r="I331" s="19"/>
    </row>
    <row r="332">
      <c r="E332" s="18"/>
      <c r="F332" s="18"/>
      <c r="G332" s="18"/>
      <c r="I332" s="19"/>
    </row>
    <row r="333">
      <c r="E333" s="18"/>
      <c r="F333" s="18"/>
      <c r="G333" s="18"/>
      <c r="I333" s="19"/>
    </row>
    <row r="334">
      <c r="E334" s="18"/>
      <c r="F334" s="18"/>
      <c r="G334" s="18"/>
      <c r="I334" s="19"/>
    </row>
    <row r="335">
      <c r="E335" s="18"/>
      <c r="F335" s="18"/>
      <c r="G335" s="18"/>
      <c r="I335" s="19"/>
    </row>
    <row r="336">
      <c r="E336" s="18"/>
      <c r="F336" s="18"/>
      <c r="G336" s="18"/>
      <c r="I336" s="19"/>
    </row>
    <row r="337">
      <c r="E337" s="18"/>
      <c r="F337" s="18"/>
      <c r="G337" s="18"/>
      <c r="I337" s="19"/>
    </row>
    <row r="338">
      <c r="E338" s="18"/>
      <c r="F338" s="18"/>
      <c r="G338" s="18"/>
      <c r="I338" s="19"/>
    </row>
    <row r="339">
      <c r="E339" s="18"/>
      <c r="F339" s="18"/>
      <c r="G339" s="18"/>
      <c r="I339" s="19"/>
    </row>
    <row r="340">
      <c r="E340" s="18"/>
      <c r="F340" s="18"/>
      <c r="G340" s="18"/>
      <c r="I340" s="19"/>
    </row>
    <row r="341">
      <c r="E341" s="18"/>
      <c r="F341" s="18"/>
      <c r="G341" s="18"/>
      <c r="I341" s="19"/>
    </row>
    <row r="342">
      <c r="E342" s="18"/>
      <c r="F342" s="18"/>
      <c r="G342" s="18"/>
      <c r="I342" s="19"/>
    </row>
    <row r="343">
      <c r="E343" s="18"/>
      <c r="F343" s="18"/>
      <c r="G343" s="18"/>
      <c r="I343" s="19"/>
    </row>
    <row r="344">
      <c r="E344" s="18"/>
      <c r="F344" s="18"/>
      <c r="G344" s="18"/>
      <c r="I344" s="19"/>
    </row>
    <row r="345">
      <c r="E345" s="18"/>
      <c r="F345" s="18"/>
      <c r="G345" s="18"/>
      <c r="I345" s="19"/>
    </row>
    <row r="346">
      <c r="E346" s="18"/>
      <c r="F346" s="18"/>
      <c r="G346" s="18"/>
      <c r="I346" s="19"/>
    </row>
    <row r="347">
      <c r="E347" s="18"/>
      <c r="F347" s="18"/>
      <c r="G347" s="18"/>
      <c r="I347" s="19"/>
    </row>
    <row r="348">
      <c r="E348" s="18"/>
      <c r="F348" s="18"/>
      <c r="G348" s="18"/>
      <c r="I348" s="19"/>
    </row>
    <row r="349">
      <c r="E349" s="18"/>
      <c r="F349" s="18"/>
      <c r="G349" s="18"/>
      <c r="I349" s="19"/>
    </row>
    <row r="350">
      <c r="E350" s="18"/>
      <c r="F350" s="18"/>
      <c r="G350" s="18"/>
      <c r="I350" s="19"/>
    </row>
    <row r="351">
      <c r="E351" s="18"/>
      <c r="F351" s="18"/>
      <c r="G351" s="18"/>
      <c r="I351" s="19"/>
    </row>
    <row r="352">
      <c r="E352" s="18"/>
      <c r="F352" s="18"/>
      <c r="G352" s="18"/>
      <c r="I352" s="19"/>
    </row>
    <row r="353">
      <c r="E353" s="18"/>
      <c r="F353" s="18"/>
      <c r="G353" s="18"/>
      <c r="I353" s="19"/>
    </row>
    <row r="354">
      <c r="E354" s="18"/>
      <c r="F354" s="18"/>
      <c r="G354" s="18"/>
      <c r="I354" s="19"/>
    </row>
    <row r="355">
      <c r="E355" s="18"/>
      <c r="F355" s="18"/>
      <c r="G355" s="18"/>
      <c r="I355" s="19"/>
    </row>
    <row r="356">
      <c r="E356" s="18"/>
      <c r="F356" s="18"/>
      <c r="G356" s="18"/>
      <c r="I356" s="19"/>
    </row>
    <row r="357">
      <c r="E357" s="18"/>
      <c r="F357" s="18"/>
      <c r="G357" s="18"/>
      <c r="I357" s="19"/>
    </row>
    <row r="358">
      <c r="E358" s="18"/>
      <c r="F358" s="18"/>
      <c r="G358" s="18"/>
      <c r="I358" s="19"/>
    </row>
    <row r="359">
      <c r="E359" s="18"/>
      <c r="F359" s="18"/>
      <c r="G359" s="18"/>
      <c r="I359" s="19"/>
    </row>
    <row r="360">
      <c r="E360" s="18"/>
      <c r="F360" s="18"/>
      <c r="G360" s="18"/>
      <c r="I360" s="19"/>
    </row>
    <row r="361">
      <c r="E361" s="18"/>
      <c r="F361" s="18"/>
      <c r="G361" s="18"/>
      <c r="I361" s="19"/>
    </row>
    <row r="362">
      <c r="E362" s="18"/>
      <c r="F362" s="18"/>
      <c r="G362" s="18"/>
      <c r="I362" s="19"/>
    </row>
    <row r="363">
      <c r="E363" s="18"/>
      <c r="F363" s="18"/>
      <c r="G363" s="18"/>
      <c r="I363" s="19"/>
    </row>
    <row r="364">
      <c r="E364" s="18"/>
      <c r="F364" s="18"/>
      <c r="G364" s="18"/>
      <c r="I364" s="19"/>
    </row>
    <row r="365">
      <c r="E365" s="18"/>
      <c r="F365" s="18"/>
      <c r="G365" s="18"/>
      <c r="I365" s="19"/>
    </row>
    <row r="366">
      <c r="E366" s="18"/>
      <c r="F366" s="18"/>
      <c r="G366" s="18"/>
      <c r="I366" s="19"/>
    </row>
    <row r="367">
      <c r="E367" s="18"/>
      <c r="F367" s="18"/>
      <c r="G367" s="18"/>
      <c r="I367" s="19"/>
    </row>
    <row r="368">
      <c r="E368" s="18"/>
      <c r="F368" s="18"/>
      <c r="G368" s="18"/>
      <c r="I368" s="19"/>
    </row>
    <row r="369">
      <c r="E369" s="18"/>
      <c r="F369" s="18"/>
      <c r="G369" s="18"/>
      <c r="I369" s="19"/>
    </row>
    <row r="370">
      <c r="E370" s="18"/>
      <c r="F370" s="18"/>
      <c r="G370" s="18"/>
      <c r="I370" s="19"/>
    </row>
    <row r="371">
      <c r="E371" s="18"/>
      <c r="F371" s="18"/>
      <c r="G371" s="18"/>
      <c r="I371" s="19"/>
    </row>
    <row r="372">
      <c r="E372" s="18"/>
      <c r="F372" s="18"/>
      <c r="G372" s="18"/>
      <c r="I372" s="19"/>
    </row>
    <row r="373">
      <c r="E373" s="18"/>
      <c r="F373" s="18"/>
      <c r="G373" s="18"/>
      <c r="I373" s="19"/>
    </row>
    <row r="374">
      <c r="E374" s="18"/>
      <c r="F374" s="18"/>
      <c r="G374" s="18"/>
      <c r="I374" s="19"/>
    </row>
    <row r="375">
      <c r="E375" s="18"/>
      <c r="F375" s="18"/>
      <c r="G375" s="18"/>
      <c r="I375" s="19"/>
    </row>
    <row r="376">
      <c r="E376" s="18"/>
      <c r="F376" s="18"/>
      <c r="G376" s="18"/>
      <c r="I376" s="19"/>
    </row>
    <row r="377">
      <c r="E377" s="18"/>
      <c r="F377" s="18"/>
      <c r="G377" s="18"/>
      <c r="I377" s="19"/>
    </row>
    <row r="378">
      <c r="E378" s="18"/>
      <c r="F378" s="18"/>
      <c r="G378" s="18"/>
      <c r="I378" s="19"/>
    </row>
    <row r="379">
      <c r="E379" s="18"/>
      <c r="F379" s="18"/>
      <c r="G379" s="18"/>
      <c r="I379" s="19"/>
    </row>
    <row r="380">
      <c r="E380" s="18"/>
      <c r="F380" s="18"/>
      <c r="G380" s="18"/>
      <c r="I380" s="19"/>
    </row>
    <row r="381">
      <c r="E381" s="18"/>
      <c r="F381" s="18"/>
      <c r="G381" s="18"/>
      <c r="I381" s="19"/>
    </row>
    <row r="382">
      <c r="E382" s="18"/>
      <c r="F382" s="18"/>
      <c r="G382" s="18"/>
      <c r="I382" s="19"/>
    </row>
    <row r="383">
      <c r="E383" s="18"/>
      <c r="F383" s="18"/>
      <c r="G383" s="18"/>
      <c r="I383" s="19"/>
    </row>
    <row r="384">
      <c r="E384" s="18"/>
      <c r="F384" s="18"/>
      <c r="G384" s="18"/>
      <c r="I384" s="19"/>
    </row>
    <row r="385">
      <c r="E385" s="18"/>
      <c r="F385" s="18"/>
      <c r="G385" s="18"/>
      <c r="I385" s="19"/>
    </row>
    <row r="386">
      <c r="E386" s="18"/>
      <c r="F386" s="18"/>
      <c r="G386" s="18"/>
      <c r="I386" s="19"/>
    </row>
    <row r="387">
      <c r="E387" s="18"/>
      <c r="F387" s="18"/>
      <c r="G387" s="18"/>
      <c r="I387" s="19"/>
    </row>
    <row r="388">
      <c r="E388" s="18"/>
      <c r="F388" s="18"/>
      <c r="G388" s="18"/>
      <c r="I388" s="19"/>
    </row>
    <row r="389">
      <c r="E389" s="18"/>
      <c r="F389" s="18"/>
      <c r="G389" s="18"/>
      <c r="I389" s="19"/>
    </row>
    <row r="390">
      <c r="E390" s="18"/>
      <c r="F390" s="18"/>
      <c r="G390" s="18"/>
      <c r="I390" s="19"/>
    </row>
    <row r="391">
      <c r="E391" s="18"/>
      <c r="F391" s="18"/>
      <c r="G391" s="18"/>
      <c r="I391" s="19"/>
    </row>
    <row r="392">
      <c r="E392" s="18"/>
      <c r="F392" s="18"/>
      <c r="G392" s="18"/>
      <c r="I392" s="19"/>
    </row>
    <row r="393">
      <c r="E393" s="18"/>
      <c r="F393" s="18"/>
      <c r="G393" s="18"/>
      <c r="I393" s="19"/>
    </row>
    <row r="394">
      <c r="E394" s="18"/>
      <c r="F394" s="18"/>
      <c r="G394" s="18"/>
      <c r="I394" s="19"/>
    </row>
    <row r="395">
      <c r="E395" s="18"/>
      <c r="F395" s="18"/>
      <c r="G395" s="18"/>
      <c r="I395" s="19"/>
    </row>
    <row r="396">
      <c r="E396" s="18"/>
      <c r="F396" s="18"/>
      <c r="G396" s="18"/>
      <c r="I396" s="19"/>
    </row>
    <row r="397">
      <c r="E397" s="18"/>
      <c r="F397" s="18"/>
      <c r="G397" s="18"/>
      <c r="I397" s="19"/>
    </row>
    <row r="398">
      <c r="E398" s="18"/>
      <c r="F398" s="18"/>
      <c r="G398" s="18"/>
      <c r="I398" s="19"/>
    </row>
    <row r="399">
      <c r="E399" s="18"/>
      <c r="F399" s="18"/>
      <c r="G399" s="18"/>
      <c r="I399" s="19"/>
    </row>
    <row r="400">
      <c r="E400" s="18"/>
      <c r="F400" s="18"/>
      <c r="G400" s="18"/>
      <c r="I400" s="19"/>
    </row>
    <row r="401">
      <c r="E401" s="18"/>
      <c r="F401" s="18"/>
      <c r="G401" s="18"/>
      <c r="I401" s="19"/>
    </row>
    <row r="402">
      <c r="E402" s="18"/>
      <c r="F402" s="18"/>
      <c r="G402" s="18"/>
      <c r="I402" s="19"/>
    </row>
    <row r="403">
      <c r="E403" s="18"/>
      <c r="F403" s="18"/>
      <c r="G403" s="18"/>
      <c r="I403" s="19"/>
    </row>
    <row r="404">
      <c r="E404" s="18"/>
      <c r="F404" s="18"/>
      <c r="G404" s="18"/>
      <c r="I404" s="19"/>
    </row>
    <row r="405">
      <c r="E405" s="18"/>
      <c r="F405" s="18"/>
      <c r="G405" s="18"/>
      <c r="I405" s="19"/>
    </row>
    <row r="406">
      <c r="E406" s="18"/>
      <c r="F406" s="18"/>
      <c r="G406" s="18"/>
      <c r="I406" s="19"/>
    </row>
    <row r="407">
      <c r="E407" s="18"/>
      <c r="F407" s="18"/>
      <c r="G407" s="18"/>
      <c r="I407" s="19"/>
    </row>
    <row r="408">
      <c r="E408" s="18"/>
      <c r="F408" s="18"/>
      <c r="G408" s="18"/>
      <c r="I408" s="19"/>
    </row>
    <row r="409">
      <c r="E409" s="18"/>
      <c r="F409" s="18"/>
      <c r="G409" s="18"/>
      <c r="I409" s="19"/>
    </row>
    <row r="410">
      <c r="E410" s="18"/>
      <c r="F410" s="18"/>
      <c r="G410" s="18"/>
      <c r="I410" s="19"/>
    </row>
    <row r="411">
      <c r="E411" s="18"/>
      <c r="F411" s="18"/>
      <c r="G411" s="18"/>
      <c r="I411" s="19"/>
    </row>
    <row r="412">
      <c r="E412" s="18"/>
      <c r="F412" s="18"/>
      <c r="G412" s="18"/>
      <c r="I412" s="19"/>
    </row>
    <row r="413">
      <c r="E413" s="18"/>
      <c r="F413" s="18"/>
      <c r="G413" s="18"/>
      <c r="I413" s="19"/>
    </row>
    <row r="414">
      <c r="E414" s="18"/>
      <c r="F414" s="18"/>
      <c r="G414" s="18"/>
      <c r="I414" s="19"/>
    </row>
    <row r="415">
      <c r="E415" s="18"/>
      <c r="F415" s="18"/>
      <c r="G415" s="18"/>
      <c r="I415" s="19"/>
    </row>
    <row r="416">
      <c r="E416" s="18"/>
      <c r="F416" s="18"/>
      <c r="G416" s="18"/>
      <c r="I416" s="19"/>
    </row>
    <row r="417">
      <c r="E417" s="18"/>
      <c r="F417" s="18"/>
      <c r="G417" s="18"/>
      <c r="I417" s="19"/>
    </row>
    <row r="418">
      <c r="E418" s="18"/>
      <c r="F418" s="18"/>
      <c r="G418" s="18"/>
      <c r="I418" s="19"/>
    </row>
    <row r="419">
      <c r="E419" s="18"/>
      <c r="F419" s="18"/>
      <c r="G419" s="18"/>
      <c r="I419" s="19"/>
    </row>
    <row r="420">
      <c r="E420" s="18"/>
      <c r="F420" s="18"/>
      <c r="G420" s="18"/>
      <c r="I420" s="19"/>
    </row>
    <row r="421">
      <c r="E421" s="18"/>
      <c r="F421" s="18"/>
      <c r="G421" s="18"/>
      <c r="I421" s="19"/>
    </row>
    <row r="422">
      <c r="E422" s="18"/>
      <c r="F422" s="18"/>
      <c r="G422" s="18"/>
      <c r="I422" s="19"/>
    </row>
    <row r="423">
      <c r="E423" s="18"/>
      <c r="F423" s="18"/>
      <c r="G423" s="18"/>
      <c r="I423" s="19"/>
    </row>
    <row r="424">
      <c r="E424" s="18"/>
      <c r="F424" s="18"/>
      <c r="G424" s="18"/>
      <c r="I424" s="19"/>
    </row>
    <row r="425">
      <c r="E425" s="18"/>
      <c r="F425" s="18"/>
      <c r="G425" s="18"/>
      <c r="I425" s="19"/>
    </row>
    <row r="426">
      <c r="E426" s="18"/>
      <c r="F426" s="18"/>
      <c r="G426" s="18"/>
      <c r="I426" s="19"/>
    </row>
    <row r="427">
      <c r="E427" s="18"/>
      <c r="F427" s="18"/>
      <c r="G427" s="18"/>
      <c r="I427" s="19"/>
    </row>
    <row r="428">
      <c r="E428" s="18"/>
      <c r="F428" s="18"/>
      <c r="G428" s="18"/>
      <c r="I428" s="19"/>
    </row>
    <row r="429">
      <c r="E429" s="18"/>
      <c r="F429" s="18"/>
      <c r="G429" s="18"/>
      <c r="I429" s="19"/>
    </row>
    <row r="430">
      <c r="E430" s="18"/>
      <c r="F430" s="18"/>
      <c r="G430" s="18"/>
      <c r="I430" s="19"/>
    </row>
    <row r="431">
      <c r="E431" s="18"/>
      <c r="F431" s="18"/>
      <c r="G431" s="18"/>
      <c r="I431" s="19"/>
    </row>
    <row r="432">
      <c r="E432" s="18"/>
      <c r="F432" s="18"/>
      <c r="G432" s="18"/>
      <c r="I432" s="19"/>
    </row>
    <row r="433">
      <c r="E433" s="18"/>
      <c r="F433" s="18"/>
      <c r="G433" s="18"/>
      <c r="I433" s="19"/>
    </row>
    <row r="434">
      <c r="E434" s="18"/>
      <c r="F434" s="18"/>
      <c r="G434" s="18"/>
      <c r="I434" s="19"/>
    </row>
    <row r="435">
      <c r="E435" s="18"/>
      <c r="F435" s="18"/>
      <c r="G435" s="18"/>
      <c r="I435" s="19"/>
    </row>
    <row r="436">
      <c r="E436" s="18"/>
      <c r="F436" s="18"/>
      <c r="G436" s="18"/>
      <c r="I436" s="19"/>
    </row>
    <row r="437">
      <c r="E437" s="18"/>
      <c r="F437" s="18"/>
      <c r="G437" s="18"/>
      <c r="I437" s="19"/>
    </row>
    <row r="438">
      <c r="E438" s="18"/>
      <c r="F438" s="18"/>
      <c r="G438" s="18"/>
      <c r="I438" s="19"/>
    </row>
    <row r="439">
      <c r="E439" s="18"/>
      <c r="F439" s="18"/>
      <c r="G439" s="18"/>
      <c r="I439" s="19"/>
    </row>
    <row r="440">
      <c r="E440" s="18"/>
      <c r="F440" s="18"/>
      <c r="G440" s="18"/>
      <c r="I440" s="19"/>
    </row>
    <row r="441">
      <c r="E441" s="18"/>
      <c r="F441" s="18"/>
      <c r="G441" s="18"/>
      <c r="I441" s="19"/>
    </row>
    <row r="442">
      <c r="E442" s="18"/>
      <c r="F442" s="18"/>
      <c r="G442" s="18"/>
      <c r="I442" s="19"/>
    </row>
    <row r="443">
      <c r="E443" s="18"/>
      <c r="F443" s="18"/>
      <c r="G443" s="18"/>
      <c r="I443" s="19"/>
    </row>
    <row r="444">
      <c r="E444" s="18"/>
      <c r="F444" s="18"/>
      <c r="G444" s="18"/>
      <c r="I444" s="19"/>
    </row>
    <row r="445">
      <c r="E445" s="18"/>
      <c r="F445" s="18"/>
      <c r="G445" s="18"/>
      <c r="I445" s="19"/>
    </row>
    <row r="446">
      <c r="E446" s="18"/>
      <c r="F446" s="18"/>
      <c r="G446" s="18"/>
      <c r="I446" s="19"/>
    </row>
    <row r="447">
      <c r="E447" s="18"/>
      <c r="F447" s="18"/>
      <c r="G447" s="18"/>
      <c r="I447" s="19"/>
    </row>
    <row r="448">
      <c r="E448" s="18"/>
      <c r="F448" s="18"/>
      <c r="G448" s="18"/>
      <c r="I448" s="19"/>
    </row>
    <row r="449">
      <c r="E449" s="18"/>
      <c r="F449" s="18"/>
      <c r="G449" s="18"/>
      <c r="I449" s="19"/>
    </row>
    <row r="450">
      <c r="E450" s="18"/>
      <c r="F450" s="18"/>
      <c r="G450" s="18"/>
      <c r="I450" s="19"/>
    </row>
    <row r="451">
      <c r="E451" s="18"/>
      <c r="F451" s="18"/>
      <c r="G451" s="18"/>
      <c r="I451" s="19"/>
    </row>
    <row r="452">
      <c r="E452" s="18"/>
      <c r="F452" s="18"/>
      <c r="G452" s="18"/>
      <c r="I452" s="19"/>
    </row>
    <row r="453">
      <c r="E453" s="18"/>
      <c r="F453" s="18"/>
      <c r="G453" s="18"/>
      <c r="I453" s="19"/>
    </row>
    <row r="454">
      <c r="E454" s="18"/>
      <c r="F454" s="18"/>
      <c r="G454" s="18"/>
      <c r="I454" s="19"/>
    </row>
    <row r="455">
      <c r="E455" s="18"/>
      <c r="F455" s="18"/>
      <c r="G455" s="18"/>
      <c r="I455" s="19"/>
    </row>
    <row r="456">
      <c r="E456" s="18"/>
      <c r="F456" s="18"/>
      <c r="G456" s="18"/>
      <c r="I456" s="19"/>
    </row>
    <row r="457">
      <c r="E457" s="18"/>
      <c r="F457" s="18"/>
      <c r="G457" s="18"/>
      <c r="I457" s="19"/>
    </row>
    <row r="458">
      <c r="E458" s="18"/>
      <c r="F458" s="18"/>
      <c r="G458" s="18"/>
      <c r="I458" s="19"/>
    </row>
    <row r="459">
      <c r="E459" s="18"/>
      <c r="F459" s="18"/>
      <c r="G459" s="18"/>
      <c r="I459" s="19"/>
    </row>
    <row r="460">
      <c r="E460" s="18"/>
      <c r="F460" s="18"/>
      <c r="G460" s="18"/>
      <c r="I460" s="19"/>
    </row>
    <row r="461">
      <c r="E461" s="18"/>
      <c r="F461" s="18"/>
      <c r="G461" s="18"/>
      <c r="I461" s="19"/>
    </row>
    <row r="462">
      <c r="E462" s="18"/>
      <c r="F462" s="18"/>
      <c r="G462" s="18"/>
      <c r="I462" s="19"/>
    </row>
    <row r="463">
      <c r="E463" s="18"/>
      <c r="F463" s="18"/>
      <c r="G463" s="18"/>
      <c r="I463" s="19"/>
    </row>
    <row r="464">
      <c r="E464" s="18"/>
      <c r="F464" s="18"/>
      <c r="G464" s="18"/>
      <c r="I464" s="19"/>
    </row>
    <row r="465">
      <c r="E465" s="18"/>
      <c r="F465" s="18"/>
      <c r="G465" s="18"/>
      <c r="I465" s="19"/>
    </row>
    <row r="466">
      <c r="E466" s="18"/>
      <c r="F466" s="18"/>
      <c r="G466" s="18"/>
      <c r="I466" s="19"/>
    </row>
    <row r="467">
      <c r="E467" s="18"/>
      <c r="F467" s="18"/>
      <c r="G467" s="18"/>
      <c r="I467" s="19"/>
    </row>
    <row r="468">
      <c r="E468" s="18"/>
      <c r="F468" s="18"/>
      <c r="G468" s="18"/>
      <c r="I468" s="19"/>
    </row>
    <row r="469">
      <c r="E469" s="18"/>
      <c r="F469" s="18"/>
      <c r="G469" s="18"/>
      <c r="I469" s="19"/>
    </row>
    <row r="470">
      <c r="E470" s="18"/>
      <c r="F470" s="18"/>
      <c r="G470" s="18"/>
      <c r="I470" s="19"/>
    </row>
    <row r="471">
      <c r="E471" s="18"/>
      <c r="F471" s="18"/>
      <c r="G471" s="18"/>
      <c r="I471" s="19"/>
    </row>
    <row r="472">
      <c r="E472" s="18"/>
      <c r="F472" s="18"/>
      <c r="G472" s="18"/>
      <c r="I472" s="19"/>
    </row>
    <row r="473">
      <c r="E473" s="18"/>
      <c r="F473" s="18"/>
      <c r="G473" s="18"/>
      <c r="I473" s="19"/>
    </row>
    <row r="474">
      <c r="E474" s="18"/>
      <c r="F474" s="18"/>
      <c r="G474" s="18"/>
      <c r="I474" s="19"/>
    </row>
    <row r="475">
      <c r="E475" s="18"/>
      <c r="F475" s="18"/>
      <c r="G475" s="18"/>
      <c r="I475" s="19"/>
    </row>
    <row r="476">
      <c r="E476" s="18"/>
      <c r="F476" s="18"/>
      <c r="G476" s="18"/>
      <c r="I476" s="19"/>
    </row>
    <row r="477">
      <c r="E477" s="18"/>
      <c r="F477" s="18"/>
      <c r="G477" s="18"/>
      <c r="I477" s="19"/>
    </row>
    <row r="478">
      <c r="E478" s="18"/>
      <c r="F478" s="18"/>
      <c r="G478" s="18"/>
      <c r="I478" s="19"/>
    </row>
    <row r="479">
      <c r="E479" s="18"/>
      <c r="F479" s="18"/>
      <c r="G479" s="18"/>
      <c r="I479" s="19"/>
    </row>
    <row r="480">
      <c r="E480" s="18"/>
      <c r="F480" s="18"/>
      <c r="G480" s="18"/>
      <c r="I480" s="19"/>
    </row>
    <row r="481">
      <c r="E481" s="18"/>
      <c r="F481" s="18"/>
      <c r="G481" s="18"/>
      <c r="I481" s="19"/>
    </row>
    <row r="482">
      <c r="E482" s="18"/>
      <c r="F482" s="18"/>
      <c r="G482" s="18"/>
      <c r="I482" s="19"/>
    </row>
    <row r="483">
      <c r="E483" s="18"/>
      <c r="F483" s="18"/>
      <c r="G483" s="18"/>
      <c r="I483" s="19"/>
    </row>
    <row r="484">
      <c r="E484" s="18"/>
      <c r="F484" s="18"/>
      <c r="G484" s="18"/>
      <c r="I484" s="19"/>
    </row>
    <row r="485">
      <c r="E485" s="18"/>
      <c r="F485" s="18"/>
      <c r="G485" s="18"/>
      <c r="I485" s="19"/>
    </row>
    <row r="486">
      <c r="E486" s="18"/>
      <c r="F486" s="18"/>
      <c r="G486" s="18"/>
      <c r="I486" s="19"/>
    </row>
    <row r="487">
      <c r="E487" s="18"/>
      <c r="F487" s="18"/>
      <c r="G487" s="18"/>
      <c r="I487" s="19"/>
    </row>
    <row r="488">
      <c r="E488" s="18"/>
      <c r="F488" s="18"/>
      <c r="G488" s="18"/>
      <c r="I488" s="19"/>
    </row>
    <row r="489">
      <c r="E489" s="18"/>
      <c r="F489" s="18"/>
      <c r="G489" s="18"/>
      <c r="I489" s="19"/>
    </row>
    <row r="490">
      <c r="E490" s="18"/>
      <c r="F490" s="18"/>
      <c r="G490" s="18"/>
      <c r="I490" s="19"/>
    </row>
    <row r="491">
      <c r="E491" s="18"/>
      <c r="F491" s="18"/>
      <c r="G491" s="18"/>
      <c r="I491" s="19"/>
    </row>
    <row r="492">
      <c r="E492" s="18"/>
      <c r="F492" s="18"/>
      <c r="G492" s="18"/>
      <c r="I492" s="19"/>
    </row>
    <row r="493">
      <c r="E493" s="18"/>
      <c r="F493" s="18"/>
      <c r="G493" s="18"/>
      <c r="I493" s="19"/>
    </row>
    <row r="494">
      <c r="E494" s="18"/>
      <c r="F494" s="18"/>
      <c r="G494" s="18"/>
      <c r="I494" s="19"/>
    </row>
    <row r="495">
      <c r="E495" s="18"/>
      <c r="F495" s="18"/>
      <c r="G495" s="18"/>
      <c r="I495" s="19"/>
    </row>
    <row r="496">
      <c r="E496" s="18"/>
      <c r="F496" s="18"/>
      <c r="G496" s="18"/>
      <c r="I496" s="19"/>
    </row>
    <row r="497">
      <c r="E497" s="18"/>
      <c r="F497" s="18"/>
      <c r="G497" s="18"/>
      <c r="I497" s="19"/>
    </row>
    <row r="498">
      <c r="E498" s="18"/>
      <c r="F498" s="18"/>
      <c r="G498" s="18"/>
      <c r="I498" s="19"/>
    </row>
    <row r="499">
      <c r="E499" s="18"/>
      <c r="F499" s="18"/>
      <c r="G499" s="18"/>
      <c r="I499" s="19"/>
    </row>
    <row r="500">
      <c r="E500" s="18"/>
      <c r="F500" s="18"/>
      <c r="G500" s="18"/>
      <c r="I500" s="19"/>
    </row>
    <row r="501">
      <c r="E501" s="18"/>
      <c r="F501" s="18"/>
      <c r="G501" s="18"/>
      <c r="I501" s="19"/>
    </row>
    <row r="502">
      <c r="E502" s="18"/>
      <c r="F502" s="18"/>
      <c r="G502" s="18"/>
      <c r="I502" s="19"/>
    </row>
    <row r="503">
      <c r="E503" s="18"/>
      <c r="F503" s="18"/>
      <c r="G503" s="18"/>
      <c r="I503" s="19"/>
    </row>
    <row r="504">
      <c r="E504" s="18"/>
      <c r="F504" s="18"/>
      <c r="G504" s="18"/>
      <c r="I504" s="19"/>
    </row>
    <row r="505">
      <c r="E505" s="18"/>
      <c r="F505" s="18"/>
      <c r="G505" s="18"/>
      <c r="I505" s="19"/>
    </row>
    <row r="506">
      <c r="E506" s="18"/>
      <c r="F506" s="18"/>
      <c r="G506" s="18"/>
      <c r="I506" s="19"/>
    </row>
    <row r="507">
      <c r="E507" s="18"/>
      <c r="F507" s="18"/>
      <c r="G507" s="18"/>
      <c r="I507" s="19"/>
    </row>
    <row r="508">
      <c r="E508" s="18"/>
      <c r="F508" s="18"/>
      <c r="G508" s="18"/>
      <c r="I508" s="19"/>
    </row>
    <row r="509">
      <c r="E509" s="18"/>
      <c r="F509" s="18"/>
      <c r="G509" s="18"/>
      <c r="I509" s="19"/>
    </row>
    <row r="510">
      <c r="E510" s="18"/>
      <c r="F510" s="18"/>
      <c r="G510" s="18"/>
      <c r="I510" s="19"/>
    </row>
    <row r="511">
      <c r="E511" s="18"/>
      <c r="F511" s="18"/>
      <c r="G511" s="18"/>
      <c r="I511" s="19"/>
    </row>
    <row r="512">
      <c r="E512" s="18"/>
      <c r="F512" s="18"/>
      <c r="G512" s="18"/>
      <c r="I512" s="19"/>
    </row>
    <row r="513">
      <c r="E513" s="18"/>
      <c r="F513" s="18"/>
      <c r="G513" s="18"/>
      <c r="I513" s="19"/>
    </row>
    <row r="514">
      <c r="E514" s="18"/>
      <c r="F514" s="18"/>
      <c r="G514" s="18"/>
      <c r="I514" s="19"/>
    </row>
    <row r="515">
      <c r="E515" s="18"/>
      <c r="F515" s="18"/>
      <c r="G515" s="18"/>
      <c r="I515" s="19"/>
    </row>
    <row r="516">
      <c r="E516" s="18"/>
      <c r="F516" s="18"/>
      <c r="G516" s="18"/>
      <c r="I516" s="19"/>
    </row>
    <row r="517">
      <c r="E517" s="18"/>
      <c r="F517" s="18"/>
      <c r="G517" s="18"/>
      <c r="I517" s="19"/>
    </row>
    <row r="518">
      <c r="E518" s="18"/>
      <c r="F518" s="18"/>
      <c r="G518" s="18"/>
      <c r="I518" s="19"/>
    </row>
    <row r="519">
      <c r="E519" s="18"/>
      <c r="F519" s="18"/>
      <c r="G519" s="18"/>
      <c r="I519" s="19"/>
    </row>
    <row r="520">
      <c r="E520" s="18"/>
      <c r="F520" s="18"/>
      <c r="G520" s="18"/>
      <c r="I520" s="19"/>
    </row>
    <row r="521">
      <c r="E521" s="18"/>
      <c r="F521" s="18"/>
      <c r="G521" s="18"/>
      <c r="I521" s="19"/>
    </row>
    <row r="522">
      <c r="E522" s="18"/>
      <c r="F522" s="18"/>
      <c r="G522" s="18"/>
      <c r="I522" s="19"/>
    </row>
    <row r="523">
      <c r="E523" s="18"/>
      <c r="F523" s="18"/>
      <c r="G523" s="18"/>
      <c r="I523" s="19"/>
    </row>
    <row r="524">
      <c r="E524" s="18"/>
      <c r="F524" s="18"/>
      <c r="G524" s="18"/>
      <c r="I524" s="19"/>
    </row>
    <row r="525">
      <c r="E525" s="18"/>
      <c r="F525" s="18"/>
      <c r="G525" s="18"/>
      <c r="I525" s="19"/>
    </row>
    <row r="526">
      <c r="E526" s="18"/>
      <c r="F526" s="18"/>
      <c r="G526" s="18"/>
      <c r="I526" s="19"/>
    </row>
    <row r="527">
      <c r="E527" s="18"/>
      <c r="F527" s="18"/>
      <c r="G527" s="18"/>
      <c r="I527" s="19"/>
    </row>
    <row r="528">
      <c r="E528" s="18"/>
      <c r="F528" s="18"/>
      <c r="G528" s="18"/>
      <c r="I528" s="19"/>
    </row>
    <row r="529">
      <c r="E529" s="18"/>
      <c r="F529" s="18"/>
      <c r="G529" s="18"/>
      <c r="I529" s="19"/>
    </row>
    <row r="530">
      <c r="E530" s="18"/>
      <c r="F530" s="18"/>
      <c r="G530" s="18"/>
      <c r="I530" s="19"/>
    </row>
    <row r="531">
      <c r="E531" s="18"/>
      <c r="F531" s="18"/>
      <c r="G531" s="18"/>
      <c r="I531" s="19"/>
    </row>
    <row r="532">
      <c r="E532" s="18"/>
      <c r="F532" s="18"/>
      <c r="G532" s="18"/>
      <c r="I532" s="19"/>
    </row>
    <row r="533">
      <c r="E533" s="18"/>
      <c r="F533" s="18"/>
      <c r="G533" s="18"/>
      <c r="I533" s="19"/>
    </row>
    <row r="534">
      <c r="E534" s="18"/>
      <c r="F534" s="18"/>
      <c r="G534" s="18"/>
      <c r="I534" s="19"/>
    </row>
    <row r="535">
      <c r="E535" s="18"/>
      <c r="F535" s="18"/>
      <c r="G535" s="18"/>
      <c r="I535" s="19"/>
    </row>
    <row r="536">
      <c r="E536" s="18"/>
      <c r="F536" s="18"/>
      <c r="G536" s="18"/>
      <c r="I536" s="19"/>
    </row>
    <row r="537">
      <c r="E537" s="18"/>
      <c r="F537" s="18"/>
      <c r="G537" s="18"/>
      <c r="I537" s="19"/>
    </row>
    <row r="538">
      <c r="E538" s="18"/>
      <c r="F538" s="18"/>
      <c r="G538" s="18"/>
      <c r="I538" s="19"/>
    </row>
    <row r="539">
      <c r="E539" s="18"/>
      <c r="F539" s="18"/>
      <c r="G539" s="18"/>
      <c r="I539" s="19"/>
    </row>
    <row r="540">
      <c r="E540" s="18"/>
      <c r="F540" s="18"/>
      <c r="G540" s="18"/>
      <c r="I540" s="19"/>
    </row>
    <row r="541">
      <c r="E541" s="18"/>
      <c r="F541" s="18"/>
      <c r="G541" s="18"/>
      <c r="I541" s="19"/>
    </row>
    <row r="542">
      <c r="E542" s="18"/>
      <c r="F542" s="18"/>
      <c r="G542" s="18"/>
      <c r="I542" s="19"/>
    </row>
    <row r="543">
      <c r="E543" s="18"/>
      <c r="F543" s="18"/>
      <c r="G543" s="18"/>
      <c r="I543" s="19"/>
    </row>
    <row r="544">
      <c r="E544" s="18"/>
      <c r="F544" s="18"/>
      <c r="G544" s="18"/>
      <c r="I544" s="19"/>
    </row>
    <row r="545">
      <c r="E545" s="18"/>
      <c r="F545" s="18"/>
      <c r="G545" s="18"/>
      <c r="I545" s="19"/>
    </row>
    <row r="546">
      <c r="E546" s="18"/>
      <c r="F546" s="18"/>
      <c r="G546" s="18"/>
      <c r="I546" s="19"/>
    </row>
    <row r="547">
      <c r="E547" s="18"/>
      <c r="F547" s="18"/>
      <c r="G547" s="18"/>
      <c r="I547" s="19"/>
    </row>
    <row r="548">
      <c r="E548" s="18"/>
      <c r="F548" s="18"/>
      <c r="G548" s="18"/>
      <c r="I548" s="19"/>
    </row>
    <row r="549">
      <c r="E549" s="18"/>
      <c r="F549" s="18"/>
      <c r="G549" s="18"/>
      <c r="I549" s="19"/>
    </row>
    <row r="550">
      <c r="E550" s="18"/>
      <c r="F550" s="18"/>
      <c r="G550" s="18"/>
      <c r="I550" s="19"/>
    </row>
    <row r="551">
      <c r="E551" s="18"/>
      <c r="F551" s="18"/>
      <c r="G551" s="18"/>
      <c r="I551" s="19"/>
    </row>
    <row r="552">
      <c r="E552" s="18"/>
      <c r="F552" s="18"/>
      <c r="G552" s="18"/>
      <c r="I552" s="19"/>
    </row>
    <row r="553">
      <c r="E553" s="18"/>
      <c r="F553" s="18"/>
      <c r="G553" s="18"/>
      <c r="I553" s="19"/>
    </row>
    <row r="554">
      <c r="E554" s="18"/>
      <c r="F554" s="18"/>
      <c r="G554" s="18"/>
      <c r="I554" s="19"/>
    </row>
    <row r="555">
      <c r="E555" s="18"/>
      <c r="F555" s="18"/>
      <c r="G555" s="18"/>
      <c r="I555" s="19"/>
    </row>
    <row r="556">
      <c r="E556" s="18"/>
      <c r="F556" s="18"/>
      <c r="G556" s="18"/>
      <c r="I556" s="19"/>
    </row>
    <row r="557">
      <c r="E557" s="18"/>
      <c r="F557" s="18"/>
      <c r="G557" s="18"/>
      <c r="I557" s="19"/>
    </row>
    <row r="558">
      <c r="E558" s="18"/>
      <c r="F558" s="18"/>
      <c r="G558" s="18"/>
      <c r="I558" s="19"/>
    </row>
    <row r="559">
      <c r="E559" s="18"/>
      <c r="F559" s="18"/>
      <c r="G559" s="18"/>
      <c r="I559" s="19"/>
    </row>
    <row r="560">
      <c r="E560" s="18"/>
      <c r="F560" s="18"/>
      <c r="G560" s="18"/>
      <c r="I560" s="19"/>
    </row>
    <row r="561">
      <c r="E561" s="18"/>
      <c r="F561" s="18"/>
      <c r="G561" s="18"/>
      <c r="I561" s="19"/>
    </row>
    <row r="562">
      <c r="E562" s="18"/>
      <c r="F562" s="18"/>
      <c r="G562" s="18"/>
      <c r="I562" s="19"/>
    </row>
    <row r="563">
      <c r="E563" s="18"/>
      <c r="F563" s="18"/>
      <c r="G563" s="18"/>
      <c r="I563" s="19"/>
    </row>
    <row r="564">
      <c r="E564" s="18"/>
      <c r="F564" s="18"/>
      <c r="G564" s="18"/>
      <c r="I564" s="19"/>
    </row>
    <row r="565">
      <c r="E565" s="18"/>
      <c r="F565" s="18"/>
      <c r="G565" s="18"/>
      <c r="I565" s="19"/>
    </row>
    <row r="566">
      <c r="E566" s="18"/>
      <c r="F566" s="18"/>
      <c r="G566" s="18"/>
      <c r="I566" s="19"/>
    </row>
    <row r="567">
      <c r="E567" s="18"/>
      <c r="F567" s="18"/>
      <c r="G567" s="18"/>
      <c r="I567" s="19"/>
    </row>
    <row r="568">
      <c r="E568" s="18"/>
      <c r="F568" s="18"/>
      <c r="G568" s="18"/>
      <c r="I568" s="19"/>
    </row>
    <row r="569">
      <c r="E569" s="18"/>
      <c r="F569" s="18"/>
      <c r="G569" s="18"/>
      <c r="I569" s="19"/>
    </row>
    <row r="570">
      <c r="E570" s="18"/>
      <c r="F570" s="18"/>
      <c r="G570" s="18"/>
      <c r="I570" s="19"/>
    </row>
    <row r="571">
      <c r="E571" s="18"/>
      <c r="F571" s="18"/>
      <c r="G571" s="18"/>
      <c r="I571" s="19"/>
    </row>
    <row r="572">
      <c r="E572" s="18"/>
      <c r="F572" s="18"/>
      <c r="G572" s="18"/>
      <c r="I572" s="19"/>
    </row>
    <row r="573">
      <c r="E573" s="18"/>
      <c r="F573" s="18"/>
      <c r="G573" s="18"/>
      <c r="I573" s="19"/>
    </row>
    <row r="574">
      <c r="E574" s="18"/>
      <c r="F574" s="18"/>
      <c r="G574" s="18"/>
      <c r="I574" s="19"/>
    </row>
    <row r="575">
      <c r="E575" s="18"/>
      <c r="F575" s="18"/>
      <c r="G575" s="18"/>
      <c r="I575" s="19"/>
    </row>
    <row r="576">
      <c r="E576" s="18"/>
      <c r="F576" s="18"/>
      <c r="G576" s="18"/>
      <c r="I576" s="19"/>
    </row>
    <row r="577">
      <c r="E577" s="18"/>
      <c r="F577" s="18"/>
      <c r="G577" s="18"/>
      <c r="I577" s="19"/>
    </row>
    <row r="578">
      <c r="E578" s="18"/>
      <c r="F578" s="18"/>
      <c r="G578" s="18"/>
      <c r="I578" s="19"/>
    </row>
    <row r="579">
      <c r="E579" s="18"/>
      <c r="F579" s="18"/>
      <c r="G579" s="18"/>
      <c r="I579" s="19"/>
    </row>
    <row r="580">
      <c r="E580" s="18"/>
      <c r="F580" s="18"/>
      <c r="G580" s="18"/>
      <c r="I580" s="19"/>
    </row>
    <row r="581">
      <c r="E581" s="18"/>
      <c r="F581" s="18"/>
      <c r="G581" s="18"/>
      <c r="I581" s="19"/>
    </row>
    <row r="582">
      <c r="E582" s="18"/>
      <c r="F582" s="18"/>
      <c r="G582" s="18"/>
      <c r="I582" s="19"/>
    </row>
    <row r="583">
      <c r="E583" s="18"/>
      <c r="F583" s="18"/>
      <c r="G583" s="18"/>
      <c r="I583" s="19"/>
    </row>
    <row r="584">
      <c r="E584" s="18"/>
      <c r="F584" s="18"/>
      <c r="G584" s="18"/>
      <c r="I584" s="19"/>
    </row>
    <row r="585">
      <c r="E585" s="18"/>
      <c r="F585" s="18"/>
      <c r="G585" s="18"/>
      <c r="I585" s="19"/>
    </row>
    <row r="586">
      <c r="E586" s="18"/>
      <c r="F586" s="18"/>
      <c r="G586" s="18"/>
      <c r="I586" s="19"/>
    </row>
    <row r="587">
      <c r="E587" s="18"/>
      <c r="F587" s="18"/>
      <c r="G587" s="18"/>
      <c r="I587" s="19"/>
    </row>
    <row r="588">
      <c r="E588" s="18"/>
      <c r="F588" s="18"/>
      <c r="G588" s="18"/>
      <c r="I588" s="19"/>
    </row>
    <row r="589">
      <c r="E589" s="18"/>
      <c r="F589" s="18"/>
      <c r="G589" s="18"/>
      <c r="I589" s="19"/>
    </row>
    <row r="590">
      <c r="E590" s="18"/>
      <c r="F590" s="18"/>
      <c r="G590" s="18"/>
      <c r="I590" s="19"/>
    </row>
    <row r="591">
      <c r="E591" s="18"/>
      <c r="F591" s="18"/>
      <c r="G591" s="18"/>
      <c r="I591" s="19"/>
    </row>
    <row r="592">
      <c r="E592" s="18"/>
      <c r="F592" s="18"/>
      <c r="G592" s="18"/>
      <c r="I592" s="19"/>
    </row>
    <row r="593">
      <c r="E593" s="18"/>
      <c r="F593" s="18"/>
      <c r="G593" s="18"/>
      <c r="I593" s="19"/>
    </row>
    <row r="594">
      <c r="E594" s="18"/>
      <c r="F594" s="18"/>
      <c r="G594" s="18"/>
      <c r="I594" s="19"/>
    </row>
    <row r="595">
      <c r="E595" s="18"/>
      <c r="F595" s="18"/>
      <c r="G595" s="18"/>
      <c r="I595" s="19"/>
    </row>
    <row r="596">
      <c r="E596" s="18"/>
      <c r="F596" s="18"/>
      <c r="G596" s="18"/>
      <c r="I596" s="19"/>
    </row>
    <row r="597">
      <c r="E597" s="18"/>
      <c r="F597" s="18"/>
      <c r="G597" s="18"/>
      <c r="I597" s="19"/>
    </row>
    <row r="598">
      <c r="E598" s="18"/>
      <c r="F598" s="18"/>
      <c r="G598" s="18"/>
      <c r="I598" s="19"/>
    </row>
    <row r="599">
      <c r="E599" s="18"/>
      <c r="F599" s="18"/>
      <c r="G599" s="18"/>
      <c r="I599" s="19"/>
    </row>
    <row r="600">
      <c r="E600" s="18"/>
      <c r="F600" s="18"/>
      <c r="G600" s="18"/>
      <c r="I600" s="19"/>
    </row>
    <row r="601">
      <c r="E601" s="18"/>
      <c r="F601" s="18"/>
      <c r="G601" s="18"/>
      <c r="I601" s="19"/>
    </row>
    <row r="602">
      <c r="E602" s="18"/>
      <c r="F602" s="18"/>
      <c r="G602" s="18"/>
      <c r="I602" s="19"/>
    </row>
    <row r="603">
      <c r="E603" s="18"/>
      <c r="F603" s="18"/>
      <c r="G603" s="18"/>
      <c r="I603" s="19"/>
    </row>
    <row r="604">
      <c r="E604" s="18"/>
      <c r="F604" s="18"/>
      <c r="G604" s="18"/>
      <c r="I604" s="19"/>
    </row>
    <row r="605">
      <c r="E605" s="18"/>
      <c r="F605" s="18"/>
      <c r="G605" s="18"/>
      <c r="I605" s="19"/>
    </row>
    <row r="606">
      <c r="E606" s="18"/>
      <c r="F606" s="18"/>
      <c r="G606" s="18"/>
      <c r="I606" s="19"/>
    </row>
    <row r="607">
      <c r="E607" s="18"/>
      <c r="F607" s="18"/>
      <c r="G607" s="18"/>
      <c r="I607" s="19"/>
    </row>
    <row r="608">
      <c r="E608" s="18"/>
      <c r="F608" s="18"/>
      <c r="G608" s="18"/>
      <c r="I608" s="19"/>
    </row>
    <row r="609">
      <c r="E609" s="18"/>
      <c r="F609" s="18"/>
      <c r="G609" s="18"/>
      <c r="I609" s="19"/>
    </row>
    <row r="610">
      <c r="E610" s="18"/>
      <c r="F610" s="18"/>
      <c r="G610" s="18"/>
      <c r="I610" s="19"/>
    </row>
    <row r="611">
      <c r="E611" s="18"/>
      <c r="F611" s="18"/>
      <c r="G611" s="18"/>
      <c r="I611" s="19"/>
    </row>
    <row r="612">
      <c r="E612" s="18"/>
      <c r="F612" s="18"/>
      <c r="G612" s="18"/>
      <c r="I612" s="19"/>
    </row>
    <row r="613">
      <c r="E613" s="18"/>
      <c r="F613" s="18"/>
      <c r="G613" s="18"/>
      <c r="I613" s="19"/>
    </row>
    <row r="614">
      <c r="E614" s="18"/>
      <c r="F614" s="18"/>
      <c r="G614" s="18"/>
      <c r="I614" s="19"/>
    </row>
    <row r="615">
      <c r="E615" s="18"/>
      <c r="F615" s="18"/>
      <c r="G615" s="18"/>
      <c r="I615" s="19"/>
    </row>
    <row r="616">
      <c r="E616" s="18"/>
      <c r="F616" s="18"/>
      <c r="G616" s="18"/>
      <c r="I616" s="19"/>
    </row>
    <row r="617">
      <c r="E617" s="18"/>
      <c r="F617" s="18"/>
      <c r="G617" s="18"/>
      <c r="I617" s="19"/>
    </row>
    <row r="618">
      <c r="E618" s="18"/>
      <c r="F618" s="18"/>
      <c r="G618" s="18"/>
      <c r="I618" s="19"/>
    </row>
    <row r="619">
      <c r="E619" s="18"/>
      <c r="F619" s="18"/>
      <c r="G619" s="18"/>
      <c r="I619" s="19"/>
    </row>
    <row r="620">
      <c r="E620" s="18"/>
      <c r="F620" s="18"/>
      <c r="G620" s="18"/>
      <c r="I620" s="19"/>
    </row>
    <row r="621">
      <c r="E621" s="18"/>
      <c r="F621" s="18"/>
      <c r="G621" s="18"/>
      <c r="I621" s="19"/>
    </row>
    <row r="622">
      <c r="E622" s="18"/>
      <c r="F622" s="18"/>
      <c r="G622" s="18"/>
      <c r="I622" s="19"/>
    </row>
    <row r="623">
      <c r="E623" s="18"/>
      <c r="F623" s="18"/>
      <c r="G623" s="18"/>
      <c r="I623" s="19"/>
    </row>
    <row r="624">
      <c r="E624" s="18"/>
      <c r="F624" s="18"/>
      <c r="G624" s="18"/>
      <c r="I624" s="19"/>
    </row>
    <row r="625">
      <c r="E625" s="18"/>
      <c r="F625" s="18"/>
      <c r="G625" s="18"/>
      <c r="I625" s="19"/>
    </row>
    <row r="626">
      <c r="E626" s="18"/>
      <c r="F626" s="18"/>
      <c r="G626" s="18"/>
      <c r="I626" s="19"/>
    </row>
    <row r="627">
      <c r="E627" s="18"/>
      <c r="F627" s="18"/>
      <c r="G627" s="18"/>
      <c r="I627" s="19"/>
    </row>
    <row r="628">
      <c r="E628" s="18"/>
      <c r="F628" s="18"/>
      <c r="G628" s="18"/>
      <c r="I628" s="19"/>
    </row>
    <row r="629">
      <c r="E629" s="18"/>
      <c r="F629" s="18"/>
      <c r="G629" s="18"/>
      <c r="I629" s="19"/>
    </row>
    <row r="630">
      <c r="E630" s="18"/>
      <c r="F630" s="18"/>
      <c r="G630" s="18"/>
      <c r="I630" s="19"/>
    </row>
    <row r="631">
      <c r="E631" s="18"/>
      <c r="F631" s="18"/>
      <c r="G631" s="18"/>
      <c r="I631" s="19"/>
    </row>
    <row r="632">
      <c r="E632" s="18"/>
      <c r="F632" s="18"/>
      <c r="G632" s="18"/>
      <c r="I632" s="19"/>
    </row>
    <row r="633">
      <c r="E633" s="18"/>
      <c r="F633" s="18"/>
      <c r="G633" s="18"/>
      <c r="I633" s="19"/>
    </row>
    <row r="634">
      <c r="E634" s="18"/>
      <c r="F634" s="18"/>
      <c r="G634" s="18"/>
      <c r="I634" s="19"/>
    </row>
    <row r="635">
      <c r="E635" s="18"/>
      <c r="F635" s="18"/>
      <c r="G635" s="18"/>
      <c r="I635" s="19"/>
    </row>
    <row r="636">
      <c r="E636" s="18"/>
      <c r="F636" s="18"/>
      <c r="G636" s="18"/>
      <c r="I636" s="19"/>
    </row>
    <row r="637">
      <c r="E637" s="18"/>
      <c r="F637" s="18"/>
      <c r="G637" s="18"/>
      <c r="I637" s="19"/>
    </row>
    <row r="638">
      <c r="E638" s="18"/>
      <c r="F638" s="18"/>
      <c r="G638" s="18"/>
      <c r="I638" s="19"/>
    </row>
    <row r="639">
      <c r="E639" s="18"/>
      <c r="F639" s="18"/>
      <c r="G639" s="18"/>
      <c r="I639" s="19"/>
    </row>
    <row r="640">
      <c r="E640" s="18"/>
      <c r="F640" s="18"/>
      <c r="G640" s="18"/>
      <c r="I640" s="19"/>
    </row>
    <row r="641">
      <c r="E641" s="18"/>
      <c r="F641" s="18"/>
      <c r="G641" s="18"/>
      <c r="I641" s="19"/>
    </row>
    <row r="642">
      <c r="E642" s="18"/>
      <c r="F642" s="18"/>
      <c r="G642" s="18"/>
      <c r="I642" s="19"/>
    </row>
    <row r="643">
      <c r="E643" s="18"/>
      <c r="F643" s="18"/>
      <c r="G643" s="18"/>
      <c r="I643" s="19"/>
    </row>
    <row r="644">
      <c r="E644" s="18"/>
      <c r="F644" s="18"/>
      <c r="G644" s="18"/>
      <c r="I644" s="19"/>
    </row>
    <row r="645">
      <c r="E645" s="18"/>
      <c r="F645" s="18"/>
      <c r="G645" s="18"/>
      <c r="I645" s="19"/>
    </row>
    <row r="646">
      <c r="E646" s="18"/>
      <c r="F646" s="18"/>
      <c r="G646" s="18"/>
      <c r="I646" s="19"/>
    </row>
    <row r="647">
      <c r="E647" s="18"/>
      <c r="F647" s="18"/>
      <c r="G647" s="18"/>
      <c r="I647" s="19"/>
    </row>
    <row r="648">
      <c r="E648" s="18"/>
      <c r="F648" s="18"/>
      <c r="G648" s="18"/>
      <c r="I648" s="19"/>
    </row>
    <row r="649">
      <c r="E649" s="18"/>
      <c r="F649" s="18"/>
      <c r="G649" s="18"/>
      <c r="I649" s="19"/>
    </row>
    <row r="650">
      <c r="E650" s="18"/>
      <c r="F650" s="18"/>
      <c r="G650" s="18"/>
      <c r="I650" s="19"/>
    </row>
    <row r="651">
      <c r="E651" s="18"/>
      <c r="F651" s="18"/>
      <c r="G651" s="18"/>
      <c r="I651" s="19"/>
    </row>
    <row r="652">
      <c r="E652" s="18"/>
      <c r="F652" s="18"/>
      <c r="G652" s="18"/>
      <c r="I652" s="19"/>
    </row>
    <row r="653">
      <c r="E653" s="18"/>
      <c r="F653" s="18"/>
      <c r="G653" s="18"/>
      <c r="I653" s="19"/>
    </row>
    <row r="654">
      <c r="E654" s="18"/>
      <c r="F654" s="18"/>
      <c r="G654" s="18"/>
      <c r="I654" s="19"/>
    </row>
    <row r="655">
      <c r="E655" s="18"/>
      <c r="F655" s="18"/>
      <c r="G655" s="18"/>
      <c r="I655" s="19"/>
    </row>
    <row r="656">
      <c r="E656" s="18"/>
      <c r="F656" s="18"/>
      <c r="G656" s="18"/>
      <c r="I656" s="19"/>
    </row>
    <row r="657">
      <c r="E657" s="18"/>
      <c r="F657" s="18"/>
      <c r="G657" s="18"/>
      <c r="I657" s="19"/>
    </row>
    <row r="658">
      <c r="E658" s="18"/>
      <c r="F658" s="18"/>
      <c r="G658" s="18"/>
      <c r="I658" s="19"/>
    </row>
    <row r="659">
      <c r="E659" s="18"/>
      <c r="F659" s="18"/>
      <c r="G659" s="18"/>
      <c r="I659" s="19"/>
    </row>
    <row r="660">
      <c r="E660" s="18"/>
      <c r="F660" s="18"/>
      <c r="G660" s="18"/>
      <c r="I660" s="19"/>
    </row>
    <row r="661">
      <c r="E661" s="18"/>
      <c r="F661" s="18"/>
      <c r="G661" s="18"/>
      <c r="I661" s="19"/>
    </row>
    <row r="662">
      <c r="E662" s="18"/>
      <c r="F662" s="18"/>
      <c r="G662" s="18"/>
      <c r="I662" s="19"/>
    </row>
    <row r="663">
      <c r="E663" s="18"/>
      <c r="F663" s="18"/>
      <c r="G663" s="18"/>
      <c r="I663" s="19"/>
    </row>
    <row r="664">
      <c r="E664" s="18"/>
      <c r="F664" s="18"/>
      <c r="G664" s="18"/>
      <c r="I664" s="19"/>
    </row>
    <row r="665">
      <c r="E665" s="18"/>
      <c r="F665" s="18"/>
      <c r="G665" s="18"/>
      <c r="I665" s="19"/>
    </row>
    <row r="666">
      <c r="E666" s="18"/>
      <c r="F666" s="18"/>
      <c r="G666" s="18"/>
      <c r="I666" s="19"/>
    </row>
    <row r="667">
      <c r="E667" s="18"/>
      <c r="F667" s="18"/>
      <c r="G667" s="18"/>
      <c r="I667" s="19"/>
    </row>
    <row r="668">
      <c r="E668" s="18"/>
      <c r="F668" s="18"/>
      <c r="G668" s="18"/>
      <c r="I668" s="19"/>
    </row>
    <row r="669">
      <c r="E669" s="18"/>
      <c r="F669" s="18"/>
      <c r="G669" s="18"/>
      <c r="I669" s="19"/>
    </row>
    <row r="670">
      <c r="E670" s="18"/>
      <c r="F670" s="18"/>
      <c r="G670" s="18"/>
      <c r="I670" s="19"/>
    </row>
    <row r="671">
      <c r="E671" s="18"/>
      <c r="F671" s="18"/>
      <c r="G671" s="18"/>
      <c r="I671" s="19"/>
    </row>
    <row r="672">
      <c r="E672" s="18"/>
      <c r="F672" s="18"/>
      <c r="G672" s="18"/>
      <c r="I672" s="19"/>
    </row>
    <row r="673">
      <c r="E673" s="18"/>
      <c r="F673" s="18"/>
      <c r="G673" s="18"/>
      <c r="I673" s="19"/>
    </row>
    <row r="674">
      <c r="E674" s="18"/>
      <c r="F674" s="18"/>
      <c r="G674" s="18"/>
      <c r="I674" s="19"/>
    </row>
    <row r="675">
      <c r="E675" s="18"/>
      <c r="F675" s="18"/>
      <c r="G675" s="18"/>
      <c r="I675" s="19"/>
    </row>
    <row r="676">
      <c r="E676" s="18"/>
      <c r="F676" s="18"/>
      <c r="G676" s="18"/>
      <c r="I676" s="19"/>
    </row>
    <row r="677">
      <c r="E677" s="18"/>
      <c r="F677" s="18"/>
      <c r="G677" s="18"/>
      <c r="I677" s="19"/>
    </row>
    <row r="678">
      <c r="E678" s="18"/>
      <c r="F678" s="18"/>
      <c r="G678" s="18"/>
      <c r="I678" s="19"/>
    </row>
    <row r="679">
      <c r="E679" s="18"/>
      <c r="F679" s="18"/>
      <c r="G679" s="18"/>
      <c r="I679" s="19"/>
    </row>
    <row r="680">
      <c r="E680" s="18"/>
      <c r="F680" s="18"/>
      <c r="G680" s="18"/>
      <c r="I680" s="19"/>
    </row>
    <row r="681">
      <c r="E681" s="18"/>
      <c r="F681" s="18"/>
      <c r="G681" s="18"/>
      <c r="I681" s="19"/>
    </row>
    <row r="682">
      <c r="E682" s="18"/>
      <c r="F682" s="18"/>
      <c r="G682" s="18"/>
      <c r="I682" s="19"/>
    </row>
    <row r="683">
      <c r="E683" s="18"/>
      <c r="F683" s="18"/>
      <c r="G683" s="18"/>
      <c r="I683" s="19"/>
    </row>
    <row r="684">
      <c r="E684" s="18"/>
      <c r="F684" s="18"/>
      <c r="G684" s="18"/>
      <c r="I684" s="19"/>
    </row>
    <row r="685">
      <c r="E685" s="18"/>
      <c r="F685" s="18"/>
      <c r="G685" s="18"/>
      <c r="I685" s="19"/>
    </row>
    <row r="686">
      <c r="E686" s="18"/>
      <c r="F686" s="18"/>
      <c r="G686" s="18"/>
      <c r="I686" s="19"/>
    </row>
    <row r="687">
      <c r="E687" s="18"/>
      <c r="F687" s="18"/>
      <c r="G687" s="18"/>
      <c r="I687" s="19"/>
    </row>
    <row r="688">
      <c r="E688" s="18"/>
      <c r="F688" s="18"/>
      <c r="G688" s="18"/>
      <c r="I688" s="19"/>
    </row>
    <row r="689">
      <c r="E689" s="18"/>
      <c r="F689" s="18"/>
      <c r="G689" s="18"/>
      <c r="I689" s="19"/>
    </row>
    <row r="690">
      <c r="E690" s="18"/>
      <c r="F690" s="18"/>
      <c r="G690" s="18"/>
      <c r="I690" s="19"/>
    </row>
    <row r="691">
      <c r="E691" s="18"/>
      <c r="F691" s="18"/>
      <c r="G691" s="18"/>
      <c r="I691" s="19"/>
    </row>
    <row r="692">
      <c r="E692" s="18"/>
      <c r="F692" s="18"/>
      <c r="G692" s="18"/>
      <c r="I692" s="19"/>
    </row>
    <row r="693">
      <c r="E693" s="18"/>
      <c r="F693" s="18"/>
      <c r="G693" s="18"/>
      <c r="I693" s="19"/>
    </row>
    <row r="694">
      <c r="E694" s="18"/>
      <c r="F694" s="18"/>
      <c r="G694" s="18"/>
      <c r="I694" s="19"/>
    </row>
    <row r="695">
      <c r="E695" s="18"/>
      <c r="F695" s="18"/>
      <c r="G695" s="18"/>
      <c r="I695" s="19"/>
    </row>
    <row r="696">
      <c r="E696" s="18"/>
      <c r="F696" s="18"/>
      <c r="G696" s="18"/>
      <c r="I696" s="19"/>
    </row>
    <row r="697">
      <c r="E697" s="18"/>
      <c r="F697" s="18"/>
      <c r="G697" s="18"/>
      <c r="I697" s="19"/>
    </row>
    <row r="698">
      <c r="E698" s="18"/>
      <c r="F698" s="18"/>
      <c r="G698" s="18"/>
      <c r="I698" s="19"/>
    </row>
    <row r="699">
      <c r="E699" s="18"/>
      <c r="F699" s="18"/>
      <c r="G699" s="18"/>
      <c r="I699" s="19"/>
    </row>
    <row r="700">
      <c r="E700" s="18"/>
      <c r="F700" s="18"/>
      <c r="G700" s="18"/>
      <c r="I700" s="19"/>
    </row>
    <row r="701">
      <c r="E701" s="18"/>
      <c r="F701" s="18"/>
      <c r="G701" s="18"/>
      <c r="I701" s="19"/>
    </row>
    <row r="702">
      <c r="E702" s="18"/>
      <c r="F702" s="18"/>
      <c r="G702" s="18"/>
      <c r="I702" s="19"/>
    </row>
    <row r="703">
      <c r="E703" s="18"/>
      <c r="F703" s="18"/>
      <c r="G703" s="18"/>
      <c r="I703" s="19"/>
    </row>
    <row r="704">
      <c r="E704" s="18"/>
      <c r="F704" s="18"/>
      <c r="G704" s="18"/>
      <c r="I704" s="19"/>
    </row>
    <row r="705">
      <c r="E705" s="18"/>
      <c r="F705" s="18"/>
      <c r="G705" s="18"/>
      <c r="I705" s="19"/>
    </row>
    <row r="706">
      <c r="E706" s="18"/>
      <c r="F706" s="18"/>
      <c r="G706" s="18"/>
      <c r="I706" s="19"/>
    </row>
    <row r="707">
      <c r="E707" s="18"/>
      <c r="F707" s="18"/>
      <c r="G707" s="18"/>
      <c r="I707" s="19"/>
    </row>
    <row r="708">
      <c r="E708" s="18"/>
      <c r="F708" s="18"/>
      <c r="G708" s="18"/>
      <c r="I708" s="19"/>
    </row>
    <row r="709">
      <c r="E709" s="18"/>
      <c r="F709" s="18"/>
      <c r="G709" s="18"/>
      <c r="I709" s="19"/>
    </row>
    <row r="710">
      <c r="E710" s="18"/>
      <c r="F710" s="18"/>
      <c r="G710" s="18"/>
      <c r="I710" s="19"/>
    </row>
    <row r="711">
      <c r="E711" s="18"/>
      <c r="F711" s="18"/>
      <c r="G711" s="18"/>
      <c r="I711" s="19"/>
    </row>
    <row r="712">
      <c r="E712" s="18"/>
      <c r="F712" s="18"/>
      <c r="G712" s="18"/>
      <c r="I712" s="19"/>
    </row>
    <row r="713">
      <c r="E713" s="18"/>
      <c r="F713" s="18"/>
      <c r="G713" s="18"/>
      <c r="I713" s="19"/>
    </row>
    <row r="714">
      <c r="E714" s="18"/>
      <c r="F714" s="18"/>
      <c r="G714" s="18"/>
      <c r="I714" s="19"/>
    </row>
    <row r="715">
      <c r="E715" s="18"/>
      <c r="F715" s="18"/>
      <c r="G715" s="18"/>
      <c r="I715" s="19"/>
    </row>
    <row r="716">
      <c r="E716" s="18"/>
      <c r="F716" s="18"/>
      <c r="G716" s="18"/>
      <c r="I716" s="19"/>
    </row>
    <row r="717">
      <c r="E717" s="18"/>
      <c r="F717" s="18"/>
      <c r="G717" s="18"/>
      <c r="I717" s="19"/>
    </row>
    <row r="718">
      <c r="E718" s="18"/>
      <c r="F718" s="18"/>
      <c r="G718" s="18"/>
      <c r="I718" s="19"/>
    </row>
    <row r="719">
      <c r="E719" s="18"/>
      <c r="F719" s="18"/>
      <c r="G719" s="18"/>
      <c r="I719" s="19"/>
    </row>
    <row r="720">
      <c r="E720" s="18"/>
      <c r="F720" s="18"/>
      <c r="G720" s="18"/>
      <c r="I720" s="19"/>
    </row>
    <row r="721">
      <c r="E721" s="18"/>
      <c r="F721" s="18"/>
      <c r="G721" s="18"/>
      <c r="I721" s="19"/>
    </row>
    <row r="722">
      <c r="E722" s="18"/>
      <c r="F722" s="18"/>
      <c r="G722" s="18"/>
      <c r="I722" s="19"/>
    </row>
    <row r="723">
      <c r="E723" s="18"/>
      <c r="F723" s="18"/>
      <c r="G723" s="18"/>
      <c r="I723" s="19"/>
    </row>
    <row r="724">
      <c r="E724" s="18"/>
      <c r="F724" s="18"/>
      <c r="G724" s="18"/>
      <c r="I724" s="19"/>
    </row>
    <row r="725">
      <c r="E725" s="18"/>
      <c r="F725" s="18"/>
      <c r="G725" s="18"/>
      <c r="I725" s="19"/>
    </row>
    <row r="726">
      <c r="E726" s="18"/>
      <c r="F726" s="18"/>
      <c r="G726" s="18"/>
      <c r="I726" s="19"/>
    </row>
    <row r="727">
      <c r="E727" s="18"/>
      <c r="F727" s="18"/>
      <c r="G727" s="18"/>
      <c r="I727" s="19"/>
    </row>
    <row r="728">
      <c r="E728" s="18"/>
      <c r="F728" s="18"/>
      <c r="G728" s="18"/>
      <c r="I728" s="19"/>
    </row>
    <row r="729">
      <c r="E729" s="18"/>
      <c r="F729" s="18"/>
      <c r="G729" s="18"/>
      <c r="I729" s="19"/>
    </row>
    <row r="730">
      <c r="E730" s="18"/>
      <c r="F730" s="18"/>
      <c r="G730" s="18"/>
      <c r="I730" s="19"/>
    </row>
    <row r="731">
      <c r="E731" s="18"/>
      <c r="F731" s="18"/>
      <c r="G731" s="18"/>
      <c r="I731" s="19"/>
    </row>
    <row r="732">
      <c r="E732" s="18"/>
      <c r="F732" s="18"/>
      <c r="G732" s="18"/>
      <c r="I732" s="19"/>
    </row>
    <row r="733">
      <c r="E733" s="18"/>
      <c r="F733" s="18"/>
      <c r="G733" s="18"/>
      <c r="I733" s="19"/>
    </row>
    <row r="734">
      <c r="E734" s="18"/>
      <c r="F734" s="18"/>
      <c r="G734" s="18"/>
      <c r="I734" s="19"/>
    </row>
    <row r="735">
      <c r="E735" s="18"/>
      <c r="F735" s="18"/>
      <c r="G735" s="18"/>
      <c r="I735" s="19"/>
    </row>
    <row r="736">
      <c r="E736" s="18"/>
      <c r="F736" s="18"/>
      <c r="G736" s="18"/>
      <c r="I736" s="19"/>
    </row>
    <row r="737">
      <c r="E737" s="18"/>
      <c r="F737" s="18"/>
      <c r="G737" s="18"/>
      <c r="I737" s="19"/>
    </row>
    <row r="738">
      <c r="E738" s="18"/>
      <c r="F738" s="18"/>
      <c r="G738" s="18"/>
      <c r="I738" s="19"/>
    </row>
    <row r="739">
      <c r="E739" s="18"/>
      <c r="F739" s="18"/>
      <c r="G739" s="18"/>
      <c r="I739" s="19"/>
    </row>
    <row r="740">
      <c r="E740" s="18"/>
      <c r="F740" s="18"/>
      <c r="G740" s="18"/>
      <c r="I740" s="19"/>
    </row>
    <row r="741">
      <c r="E741" s="18"/>
      <c r="F741" s="18"/>
      <c r="G741" s="18"/>
      <c r="I741" s="19"/>
    </row>
    <row r="742">
      <c r="E742" s="18"/>
      <c r="F742" s="18"/>
      <c r="G742" s="18"/>
      <c r="I742" s="19"/>
    </row>
    <row r="743">
      <c r="E743" s="18"/>
      <c r="F743" s="18"/>
      <c r="G743" s="18"/>
      <c r="I743" s="19"/>
    </row>
    <row r="744">
      <c r="E744" s="18"/>
      <c r="F744" s="18"/>
      <c r="G744" s="18"/>
      <c r="I744" s="19"/>
    </row>
    <row r="745">
      <c r="E745" s="18"/>
      <c r="F745" s="18"/>
      <c r="G745" s="18"/>
      <c r="I745" s="19"/>
    </row>
    <row r="746">
      <c r="E746" s="18"/>
      <c r="F746" s="18"/>
      <c r="G746" s="18"/>
      <c r="I746" s="19"/>
    </row>
    <row r="747">
      <c r="E747" s="18"/>
      <c r="F747" s="18"/>
      <c r="G747" s="18"/>
      <c r="I747" s="19"/>
    </row>
    <row r="748">
      <c r="E748" s="18"/>
      <c r="F748" s="18"/>
      <c r="G748" s="18"/>
      <c r="I748" s="19"/>
    </row>
    <row r="749">
      <c r="E749" s="18"/>
      <c r="F749" s="18"/>
      <c r="G749" s="18"/>
      <c r="I749" s="19"/>
    </row>
    <row r="750">
      <c r="E750" s="18"/>
      <c r="F750" s="18"/>
      <c r="G750" s="18"/>
      <c r="I750" s="19"/>
    </row>
    <row r="751">
      <c r="E751" s="18"/>
      <c r="F751" s="18"/>
      <c r="G751" s="18"/>
      <c r="I751" s="19"/>
    </row>
    <row r="752">
      <c r="E752" s="18"/>
      <c r="F752" s="18"/>
      <c r="G752" s="18"/>
      <c r="I752" s="19"/>
    </row>
    <row r="753">
      <c r="E753" s="18"/>
      <c r="F753" s="18"/>
      <c r="G753" s="18"/>
      <c r="I753" s="19"/>
    </row>
    <row r="754">
      <c r="E754" s="18"/>
      <c r="F754" s="18"/>
      <c r="G754" s="18"/>
      <c r="I754" s="19"/>
    </row>
    <row r="755">
      <c r="E755" s="18"/>
      <c r="F755" s="18"/>
      <c r="G755" s="18"/>
      <c r="I755" s="19"/>
    </row>
    <row r="756">
      <c r="E756" s="18"/>
      <c r="F756" s="18"/>
      <c r="G756" s="18"/>
      <c r="I756" s="19"/>
    </row>
    <row r="757">
      <c r="E757" s="18"/>
      <c r="F757" s="18"/>
      <c r="G757" s="18"/>
      <c r="I757" s="19"/>
    </row>
    <row r="758">
      <c r="E758" s="18"/>
      <c r="F758" s="18"/>
      <c r="G758" s="18"/>
      <c r="I758" s="19"/>
    </row>
    <row r="759">
      <c r="E759" s="18"/>
      <c r="F759" s="18"/>
      <c r="G759" s="18"/>
      <c r="I759" s="19"/>
    </row>
    <row r="760">
      <c r="E760" s="18"/>
      <c r="F760" s="18"/>
      <c r="G760" s="18"/>
      <c r="I760" s="19"/>
    </row>
    <row r="761">
      <c r="E761" s="18"/>
      <c r="F761" s="18"/>
      <c r="G761" s="18"/>
      <c r="I761" s="19"/>
    </row>
    <row r="762">
      <c r="E762" s="18"/>
      <c r="F762" s="18"/>
      <c r="G762" s="18"/>
      <c r="I762" s="19"/>
    </row>
    <row r="763">
      <c r="E763" s="18"/>
      <c r="F763" s="18"/>
      <c r="G763" s="18"/>
      <c r="I763" s="19"/>
    </row>
    <row r="764">
      <c r="E764" s="18"/>
      <c r="F764" s="18"/>
      <c r="G764" s="18"/>
      <c r="I764" s="19"/>
    </row>
    <row r="765">
      <c r="E765" s="18"/>
      <c r="F765" s="18"/>
      <c r="G765" s="18"/>
      <c r="I765" s="19"/>
    </row>
    <row r="766">
      <c r="E766" s="18"/>
      <c r="F766" s="18"/>
      <c r="G766" s="18"/>
      <c r="I766" s="19"/>
    </row>
    <row r="767">
      <c r="E767" s="18"/>
      <c r="F767" s="18"/>
      <c r="G767" s="18"/>
      <c r="I767" s="19"/>
    </row>
    <row r="768">
      <c r="E768" s="18"/>
      <c r="F768" s="18"/>
      <c r="G768" s="18"/>
      <c r="I768" s="19"/>
    </row>
    <row r="769">
      <c r="E769" s="18"/>
      <c r="F769" s="18"/>
      <c r="G769" s="18"/>
      <c r="I769" s="19"/>
    </row>
    <row r="770">
      <c r="E770" s="18"/>
      <c r="F770" s="18"/>
      <c r="G770" s="18"/>
      <c r="I770" s="19"/>
    </row>
    <row r="771">
      <c r="E771" s="18"/>
      <c r="F771" s="18"/>
      <c r="G771" s="18"/>
      <c r="I771" s="19"/>
    </row>
    <row r="772">
      <c r="E772" s="18"/>
      <c r="F772" s="18"/>
      <c r="G772" s="18"/>
      <c r="I772" s="19"/>
    </row>
    <row r="773">
      <c r="E773" s="18"/>
      <c r="F773" s="18"/>
      <c r="G773" s="18"/>
      <c r="I773" s="19"/>
    </row>
    <row r="774">
      <c r="E774" s="18"/>
      <c r="F774" s="18"/>
      <c r="G774" s="18"/>
      <c r="I774" s="19"/>
    </row>
    <row r="775">
      <c r="E775" s="18"/>
      <c r="F775" s="18"/>
      <c r="G775" s="18"/>
      <c r="I775" s="19"/>
    </row>
    <row r="776">
      <c r="E776" s="18"/>
      <c r="F776" s="18"/>
      <c r="G776" s="18"/>
      <c r="I776" s="19"/>
    </row>
    <row r="777">
      <c r="E777" s="18"/>
      <c r="F777" s="18"/>
      <c r="G777" s="18"/>
      <c r="I777" s="19"/>
    </row>
    <row r="778">
      <c r="E778" s="18"/>
      <c r="F778" s="18"/>
      <c r="G778" s="18"/>
      <c r="I778" s="19"/>
    </row>
    <row r="779">
      <c r="E779" s="18"/>
      <c r="F779" s="18"/>
      <c r="G779" s="18"/>
      <c r="I779" s="19"/>
    </row>
    <row r="780">
      <c r="E780" s="18"/>
      <c r="F780" s="18"/>
      <c r="G780" s="18"/>
      <c r="I780" s="19"/>
    </row>
    <row r="781">
      <c r="E781" s="18"/>
      <c r="F781" s="18"/>
      <c r="G781" s="18"/>
      <c r="I781" s="19"/>
    </row>
    <row r="782">
      <c r="E782" s="18"/>
      <c r="F782" s="18"/>
      <c r="G782" s="18"/>
      <c r="I782" s="19"/>
    </row>
    <row r="783">
      <c r="E783" s="18"/>
      <c r="F783" s="18"/>
      <c r="G783" s="18"/>
      <c r="I783" s="19"/>
    </row>
    <row r="784">
      <c r="E784" s="18"/>
      <c r="F784" s="18"/>
      <c r="G784" s="18"/>
      <c r="I784" s="19"/>
    </row>
    <row r="785">
      <c r="E785" s="18"/>
      <c r="F785" s="18"/>
      <c r="G785" s="18"/>
      <c r="I785" s="19"/>
    </row>
    <row r="786">
      <c r="E786" s="18"/>
      <c r="F786" s="18"/>
      <c r="G786" s="18"/>
      <c r="I786" s="19"/>
    </row>
    <row r="787">
      <c r="E787" s="18"/>
      <c r="F787" s="18"/>
      <c r="G787" s="18"/>
      <c r="I787" s="19"/>
    </row>
    <row r="788">
      <c r="E788" s="18"/>
      <c r="F788" s="18"/>
      <c r="G788" s="18"/>
      <c r="I788" s="19"/>
    </row>
    <row r="789">
      <c r="E789" s="18"/>
      <c r="F789" s="18"/>
      <c r="G789" s="18"/>
      <c r="I789" s="19"/>
    </row>
    <row r="790">
      <c r="E790" s="18"/>
      <c r="F790" s="18"/>
      <c r="G790" s="18"/>
      <c r="I790" s="19"/>
    </row>
    <row r="791">
      <c r="E791" s="18"/>
      <c r="F791" s="18"/>
      <c r="G791" s="18"/>
      <c r="I791" s="19"/>
    </row>
    <row r="792">
      <c r="E792" s="18"/>
      <c r="F792" s="18"/>
      <c r="G792" s="18"/>
      <c r="I792" s="19"/>
    </row>
    <row r="793">
      <c r="E793" s="18"/>
      <c r="F793" s="18"/>
      <c r="G793" s="18"/>
      <c r="I793" s="19"/>
    </row>
    <row r="794">
      <c r="E794" s="18"/>
      <c r="F794" s="18"/>
      <c r="G794" s="18"/>
      <c r="I794" s="19"/>
    </row>
    <row r="795">
      <c r="E795" s="18"/>
      <c r="F795" s="18"/>
      <c r="G795" s="18"/>
      <c r="I795" s="19"/>
    </row>
    <row r="796">
      <c r="E796" s="18"/>
      <c r="F796" s="18"/>
      <c r="G796" s="18"/>
      <c r="I796" s="19"/>
    </row>
    <row r="797">
      <c r="E797" s="18"/>
      <c r="F797" s="18"/>
      <c r="G797" s="18"/>
      <c r="I797" s="19"/>
    </row>
    <row r="798">
      <c r="E798" s="18"/>
      <c r="F798" s="18"/>
      <c r="G798" s="18"/>
      <c r="I798" s="19"/>
    </row>
    <row r="799">
      <c r="E799" s="18"/>
      <c r="F799" s="18"/>
      <c r="G799" s="18"/>
      <c r="I799" s="19"/>
    </row>
    <row r="800">
      <c r="E800" s="18"/>
      <c r="F800" s="18"/>
      <c r="G800" s="18"/>
      <c r="I800" s="19"/>
    </row>
    <row r="801">
      <c r="E801" s="18"/>
      <c r="F801" s="18"/>
      <c r="G801" s="18"/>
      <c r="I801" s="19"/>
    </row>
    <row r="802">
      <c r="E802" s="18"/>
      <c r="F802" s="18"/>
      <c r="G802" s="18"/>
      <c r="I802" s="19"/>
    </row>
    <row r="803">
      <c r="E803" s="18"/>
      <c r="F803" s="18"/>
      <c r="G803" s="18"/>
      <c r="I803" s="19"/>
    </row>
    <row r="804">
      <c r="E804" s="18"/>
      <c r="F804" s="18"/>
      <c r="G804" s="18"/>
      <c r="I804" s="19"/>
    </row>
    <row r="805">
      <c r="E805" s="18"/>
      <c r="F805" s="18"/>
      <c r="G805" s="18"/>
      <c r="I805" s="19"/>
    </row>
    <row r="806">
      <c r="E806" s="18"/>
      <c r="F806" s="18"/>
      <c r="G806" s="18"/>
      <c r="I806" s="19"/>
    </row>
    <row r="807">
      <c r="E807" s="18"/>
      <c r="F807" s="18"/>
      <c r="G807" s="18"/>
      <c r="I807" s="19"/>
    </row>
    <row r="808">
      <c r="E808" s="18"/>
      <c r="F808" s="18"/>
      <c r="G808" s="18"/>
      <c r="I808" s="19"/>
    </row>
    <row r="809">
      <c r="E809" s="18"/>
      <c r="F809" s="18"/>
      <c r="G809" s="18"/>
      <c r="I809" s="19"/>
    </row>
    <row r="810">
      <c r="E810" s="18"/>
      <c r="F810" s="18"/>
      <c r="G810" s="18"/>
      <c r="I810" s="19"/>
    </row>
    <row r="811">
      <c r="E811" s="18"/>
      <c r="F811" s="18"/>
      <c r="G811" s="18"/>
      <c r="I811" s="19"/>
    </row>
    <row r="812">
      <c r="E812" s="18"/>
      <c r="F812" s="18"/>
      <c r="G812" s="18"/>
      <c r="I812" s="19"/>
    </row>
    <row r="813">
      <c r="E813" s="18"/>
      <c r="F813" s="18"/>
      <c r="G813" s="18"/>
      <c r="I813" s="19"/>
    </row>
    <row r="814">
      <c r="E814" s="18"/>
      <c r="F814" s="18"/>
      <c r="G814" s="18"/>
      <c r="I814" s="19"/>
    </row>
    <row r="815">
      <c r="E815" s="18"/>
      <c r="F815" s="18"/>
      <c r="G815" s="18"/>
      <c r="I815" s="19"/>
    </row>
    <row r="816">
      <c r="E816" s="18"/>
      <c r="F816" s="18"/>
      <c r="G816" s="18"/>
      <c r="I816" s="19"/>
    </row>
    <row r="817">
      <c r="E817" s="18"/>
      <c r="F817" s="18"/>
      <c r="G817" s="18"/>
      <c r="I817" s="19"/>
    </row>
    <row r="818">
      <c r="E818" s="18"/>
      <c r="F818" s="18"/>
      <c r="G818" s="18"/>
      <c r="I818" s="19"/>
    </row>
    <row r="819">
      <c r="E819" s="18"/>
      <c r="F819" s="18"/>
      <c r="G819" s="18"/>
      <c r="I819" s="19"/>
    </row>
    <row r="820">
      <c r="E820" s="18"/>
      <c r="F820" s="18"/>
      <c r="G820" s="18"/>
      <c r="I820" s="19"/>
    </row>
    <row r="821">
      <c r="E821" s="18"/>
      <c r="F821" s="18"/>
      <c r="G821" s="18"/>
      <c r="I821" s="19"/>
    </row>
    <row r="822">
      <c r="E822" s="18"/>
      <c r="F822" s="18"/>
      <c r="G822" s="18"/>
      <c r="I822" s="19"/>
    </row>
    <row r="823">
      <c r="E823" s="18"/>
      <c r="F823" s="18"/>
      <c r="G823" s="18"/>
      <c r="I823" s="19"/>
    </row>
    <row r="824">
      <c r="E824" s="18"/>
      <c r="F824" s="18"/>
      <c r="G824" s="18"/>
      <c r="I824" s="19"/>
    </row>
    <row r="825">
      <c r="E825" s="18"/>
      <c r="F825" s="18"/>
      <c r="G825" s="18"/>
      <c r="I825" s="19"/>
    </row>
    <row r="826">
      <c r="E826" s="18"/>
      <c r="F826" s="18"/>
      <c r="G826" s="18"/>
      <c r="I826" s="19"/>
    </row>
    <row r="827">
      <c r="E827" s="18"/>
      <c r="F827" s="18"/>
      <c r="G827" s="18"/>
      <c r="I827" s="19"/>
    </row>
    <row r="828">
      <c r="E828" s="18"/>
      <c r="F828" s="18"/>
      <c r="G828" s="18"/>
      <c r="I828" s="19"/>
    </row>
    <row r="829">
      <c r="E829" s="18"/>
      <c r="F829" s="18"/>
      <c r="G829" s="18"/>
      <c r="I829" s="19"/>
    </row>
    <row r="830">
      <c r="E830" s="18"/>
      <c r="F830" s="18"/>
      <c r="G830" s="18"/>
      <c r="I830" s="19"/>
    </row>
    <row r="831">
      <c r="E831" s="18"/>
      <c r="F831" s="18"/>
      <c r="G831" s="18"/>
      <c r="I831" s="19"/>
    </row>
    <row r="832">
      <c r="E832" s="18"/>
      <c r="F832" s="18"/>
      <c r="G832" s="18"/>
      <c r="I832" s="19"/>
    </row>
    <row r="833">
      <c r="E833" s="18"/>
      <c r="F833" s="18"/>
      <c r="G833" s="18"/>
      <c r="I833" s="19"/>
    </row>
    <row r="834">
      <c r="E834" s="18"/>
      <c r="F834" s="18"/>
      <c r="G834" s="18"/>
      <c r="I834" s="19"/>
    </row>
    <row r="835">
      <c r="E835" s="18"/>
      <c r="F835" s="18"/>
      <c r="G835" s="18"/>
      <c r="I835" s="19"/>
    </row>
    <row r="836">
      <c r="E836" s="18"/>
      <c r="F836" s="18"/>
      <c r="G836" s="18"/>
      <c r="I836" s="19"/>
    </row>
    <row r="837">
      <c r="E837" s="18"/>
      <c r="F837" s="18"/>
      <c r="G837" s="18"/>
      <c r="I837" s="19"/>
    </row>
    <row r="838">
      <c r="E838" s="18"/>
      <c r="F838" s="18"/>
      <c r="G838" s="18"/>
      <c r="I838" s="19"/>
    </row>
    <row r="839">
      <c r="E839" s="18"/>
      <c r="F839" s="18"/>
      <c r="G839" s="18"/>
      <c r="I839" s="19"/>
    </row>
    <row r="840">
      <c r="E840" s="18"/>
      <c r="F840" s="18"/>
      <c r="G840" s="18"/>
      <c r="I840" s="19"/>
    </row>
    <row r="841">
      <c r="E841" s="18"/>
      <c r="F841" s="18"/>
      <c r="G841" s="18"/>
      <c r="I841" s="19"/>
    </row>
    <row r="842">
      <c r="E842" s="18"/>
      <c r="F842" s="18"/>
      <c r="G842" s="18"/>
      <c r="I842" s="19"/>
    </row>
    <row r="843">
      <c r="E843" s="18"/>
      <c r="F843" s="18"/>
      <c r="G843" s="18"/>
      <c r="I843" s="19"/>
    </row>
    <row r="844">
      <c r="E844" s="18"/>
      <c r="F844" s="18"/>
      <c r="G844" s="18"/>
      <c r="I844" s="19"/>
    </row>
    <row r="845">
      <c r="E845" s="18"/>
      <c r="F845" s="18"/>
      <c r="G845" s="18"/>
      <c r="I845" s="19"/>
    </row>
    <row r="846">
      <c r="E846" s="18"/>
      <c r="F846" s="18"/>
      <c r="G846" s="18"/>
      <c r="I846" s="19"/>
    </row>
    <row r="847">
      <c r="E847" s="18"/>
      <c r="F847" s="18"/>
      <c r="G847" s="18"/>
      <c r="I847" s="19"/>
    </row>
    <row r="848">
      <c r="E848" s="18"/>
      <c r="F848" s="18"/>
      <c r="G848" s="18"/>
      <c r="I848" s="19"/>
    </row>
    <row r="849">
      <c r="E849" s="18"/>
      <c r="F849" s="18"/>
      <c r="G849" s="18"/>
      <c r="I849" s="19"/>
    </row>
    <row r="850">
      <c r="E850" s="18"/>
      <c r="F850" s="18"/>
      <c r="G850" s="18"/>
      <c r="I850" s="19"/>
    </row>
    <row r="851">
      <c r="E851" s="18"/>
      <c r="F851" s="18"/>
      <c r="G851" s="18"/>
      <c r="I851" s="19"/>
    </row>
    <row r="852">
      <c r="E852" s="18"/>
      <c r="F852" s="18"/>
      <c r="G852" s="18"/>
      <c r="I852" s="19"/>
    </row>
    <row r="853">
      <c r="E853" s="18"/>
      <c r="F853" s="18"/>
      <c r="G853" s="18"/>
      <c r="I853" s="19"/>
    </row>
    <row r="854">
      <c r="E854" s="18"/>
      <c r="F854" s="18"/>
      <c r="G854" s="18"/>
      <c r="I854" s="19"/>
    </row>
    <row r="855">
      <c r="E855" s="18"/>
      <c r="F855" s="18"/>
      <c r="G855" s="18"/>
      <c r="I855" s="19"/>
    </row>
    <row r="856">
      <c r="E856" s="18"/>
      <c r="F856" s="18"/>
      <c r="G856" s="18"/>
      <c r="I856" s="19"/>
    </row>
    <row r="857">
      <c r="E857" s="18"/>
      <c r="F857" s="18"/>
      <c r="G857" s="18"/>
      <c r="I857" s="19"/>
    </row>
    <row r="858">
      <c r="E858" s="18"/>
      <c r="F858" s="18"/>
      <c r="G858" s="18"/>
      <c r="I858" s="19"/>
    </row>
    <row r="859">
      <c r="E859" s="18"/>
      <c r="F859" s="18"/>
      <c r="G859" s="18"/>
      <c r="I859" s="19"/>
    </row>
    <row r="860">
      <c r="E860" s="18"/>
      <c r="F860" s="18"/>
      <c r="G860" s="18"/>
      <c r="I860" s="19"/>
    </row>
    <row r="861">
      <c r="E861" s="18"/>
      <c r="F861" s="18"/>
      <c r="G861" s="18"/>
      <c r="I861" s="19"/>
    </row>
    <row r="862">
      <c r="E862" s="18"/>
      <c r="F862" s="18"/>
      <c r="G862" s="18"/>
      <c r="I862" s="19"/>
    </row>
    <row r="863">
      <c r="E863" s="18"/>
      <c r="F863" s="18"/>
      <c r="G863" s="18"/>
      <c r="I863" s="19"/>
    </row>
    <row r="864">
      <c r="E864" s="18"/>
      <c r="F864" s="18"/>
      <c r="G864" s="18"/>
      <c r="I864" s="19"/>
    </row>
    <row r="865">
      <c r="E865" s="18"/>
      <c r="F865" s="18"/>
      <c r="G865" s="18"/>
      <c r="I865" s="19"/>
    </row>
    <row r="866">
      <c r="E866" s="18"/>
      <c r="F866" s="18"/>
      <c r="G866" s="18"/>
      <c r="I866" s="19"/>
    </row>
    <row r="867">
      <c r="E867" s="18"/>
      <c r="F867" s="18"/>
      <c r="G867" s="18"/>
      <c r="I867" s="19"/>
    </row>
    <row r="868">
      <c r="E868" s="18"/>
      <c r="F868" s="18"/>
      <c r="G868" s="18"/>
      <c r="I868" s="19"/>
    </row>
    <row r="869">
      <c r="E869" s="18"/>
      <c r="F869" s="18"/>
      <c r="G869" s="18"/>
      <c r="I869" s="19"/>
    </row>
    <row r="870">
      <c r="E870" s="18"/>
      <c r="F870" s="18"/>
      <c r="G870" s="18"/>
      <c r="I870" s="19"/>
    </row>
    <row r="871">
      <c r="E871" s="18"/>
      <c r="F871" s="18"/>
      <c r="G871" s="18"/>
      <c r="I871" s="19"/>
    </row>
    <row r="872">
      <c r="E872" s="18"/>
      <c r="F872" s="18"/>
      <c r="G872" s="18"/>
      <c r="I872" s="19"/>
    </row>
    <row r="873">
      <c r="E873" s="18"/>
      <c r="F873" s="18"/>
      <c r="G873" s="18"/>
      <c r="I873" s="19"/>
    </row>
    <row r="874">
      <c r="E874" s="18"/>
      <c r="F874" s="18"/>
      <c r="G874" s="18"/>
      <c r="I874" s="19"/>
    </row>
    <row r="875">
      <c r="E875" s="18"/>
      <c r="F875" s="18"/>
      <c r="G875" s="18"/>
      <c r="I875" s="19"/>
    </row>
    <row r="876">
      <c r="E876" s="18"/>
      <c r="F876" s="18"/>
      <c r="G876" s="18"/>
      <c r="I876" s="19"/>
    </row>
    <row r="877">
      <c r="E877" s="18"/>
      <c r="F877" s="18"/>
      <c r="G877" s="18"/>
      <c r="I877" s="19"/>
    </row>
    <row r="878">
      <c r="E878" s="18"/>
      <c r="F878" s="18"/>
      <c r="G878" s="18"/>
      <c r="I878" s="19"/>
    </row>
    <row r="879">
      <c r="E879" s="18"/>
      <c r="F879" s="18"/>
      <c r="G879" s="18"/>
      <c r="I879" s="19"/>
    </row>
    <row r="880">
      <c r="E880" s="18"/>
      <c r="F880" s="18"/>
      <c r="G880" s="18"/>
      <c r="I880" s="19"/>
    </row>
    <row r="881">
      <c r="E881" s="18"/>
      <c r="F881" s="18"/>
      <c r="G881" s="18"/>
      <c r="I881" s="19"/>
    </row>
    <row r="882">
      <c r="E882" s="18"/>
      <c r="F882" s="18"/>
      <c r="G882" s="18"/>
      <c r="I882" s="19"/>
    </row>
    <row r="883">
      <c r="E883" s="18"/>
      <c r="F883" s="18"/>
      <c r="G883" s="18"/>
      <c r="I883" s="19"/>
    </row>
    <row r="884">
      <c r="E884" s="18"/>
      <c r="F884" s="18"/>
      <c r="G884" s="18"/>
      <c r="I884" s="19"/>
    </row>
    <row r="885">
      <c r="E885" s="18"/>
      <c r="F885" s="18"/>
      <c r="G885" s="18"/>
      <c r="I885" s="19"/>
    </row>
    <row r="886">
      <c r="E886" s="18"/>
      <c r="F886" s="18"/>
      <c r="G886" s="18"/>
      <c r="I886" s="19"/>
    </row>
    <row r="887">
      <c r="E887" s="18"/>
      <c r="F887" s="18"/>
      <c r="G887" s="18"/>
      <c r="I887" s="19"/>
    </row>
    <row r="888">
      <c r="E888" s="18"/>
      <c r="F888" s="18"/>
      <c r="G888" s="18"/>
      <c r="I888" s="19"/>
    </row>
    <row r="889">
      <c r="E889" s="18"/>
      <c r="F889" s="18"/>
      <c r="G889" s="18"/>
      <c r="I889" s="19"/>
    </row>
    <row r="890">
      <c r="E890" s="18"/>
      <c r="F890" s="18"/>
      <c r="G890" s="18"/>
      <c r="I890" s="19"/>
    </row>
    <row r="891">
      <c r="E891" s="18"/>
      <c r="F891" s="18"/>
      <c r="G891" s="18"/>
      <c r="I891" s="19"/>
    </row>
    <row r="892">
      <c r="E892" s="18"/>
      <c r="F892" s="18"/>
      <c r="G892" s="18"/>
      <c r="I892" s="19"/>
    </row>
    <row r="893">
      <c r="E893" s="18"/>
      <c r="F893" s="18"/>
      <c r="G893" s="18"/>
      <c r="I893" s="19"/>
    </row>
    <row r="894">
      <c r="E894" s="18"/>
      <c r="F894" s="18"/>
      <c r="G894" s="18"/>
      <c r="I894" s="19"/>
    </row>
    <row r="895">
      <c r="E895" s="18"/>
      <c r="F895" s="18"/>
      <c r="G895" s="18"/>
      <c r="I895" s="19"/>
    </row>
    <row r="896">
      <c r="E896" s="18"/>
      <c r="F896" s="18"/>
      <c r="G896" s="18"/>
      <c r="I896" s="19"/>
    </row>
    <row r="897">
      <c r="E897" s="18"/>
      <c r="F897" s="18"/>
      <c r="G897" s="18"/>
      <c r="I897" s="19"/>
    </row>
    <row r="898">
      <c r="E898" s="18"/>
      <c r="F898" s="18"/>
      <c r="G898" s="18"/>
      <c r="I898" s="19"/>
    </row>
    <row r="899">
      <c r="E899" s="18"/>
      <c r="F899" s="18"/>
      <c r="G899" s="18"/>
      <c r="I899" s="19"/>
    </row>
    <row r="900">
      <c r="E900" s="18"/>
      <c r="F900" s="18"/>
      <c r="G900" s="18"/>
      <c r="I900" s="19"/>
    </row>
    <row r="901">
      <c r="E901" s="18"/>
      <c r="F901" s="18"/>
      <c r="G901" s="18"/>
      <c r="I901" s="19"/>
    </row>
    <row r="902">
      <c r="E902" s="18"/>
      <c r="F902" s="18"/>
      <c r="G902" s="18"/>
      <c r="I902" s="19"/>
    </row>
    <row r="903">
      <c r="E903" s="18"/>
      <c r="F903" s="18"/>
      <c r="G903" s="18"/>
      <c r="I903" s="19"/>
    </row>
    <row r="904">
      <c r="E904" s="18"/>
      <c r="F904" s="18"/>
      <c r="G904" s="18"/>
      <c r="I904" s="19"/>
    </row>
    <row r="905">
      <c r="E905" s="18"/>
      <c r="F905" s="18"/>
      <c r="G905" s="18"/>
      <c r="I905" s="19"/>
    </row>
    <row r="906">
      <c r="E906" s="18"/>
      <c r="F906" s="18"/>
      <c r="G906" s="18"/>
      <c r="I906" s="19"/>
    </row>
    <row r="907">
      <c r="E907" s="18"/>
      <c r="F907" s="18"/>
      <c r="G907" s="18"/>
      <c r="I907" s="19"/>
    </row>
    <row r="908">
      <c r="E908" s="18"/>
      <c r="F908" s="18"/>
      <c r="G908" s="18"/>
      <c r="I908" s="19"/>
    </row>
    <row r="909">
      <c r="E909" s="18"/>
      <c r="F909" s="18"/>
      <c r="G909" s="18"/>
      <c r="I909" s="19"/>
    </row>
    <row r="910">
      <c r="E910" s="18"/>
      <c r="F910" s="18"/>
      <c r="G910" s="18"/>
      <c r="I910" s="19"/>
    </row>
    <row r="911">
      <c r="E911" s="18"/>
      <c r="F911" s="18"/>
      <c r="G911" s="18"/>
      <c r="I911" s="19"/>
    </row>
    <row r="912">
      <c r="E912" s="18"/>
      <c r="F912" s="18"/>
      <c r="G912" s="18"/>
      <c r="I912" s="19"/>
    </row>
    <row r="913">
      <c r="E913" s="18"/>
      <c r="F913" s="18"/>
      <c r="G913" s="18"/>
      <c r="I913" s="19"/>
    </row>
    <row r="914">
      <c r="E914" s="18"/>
      <c r="F914" s="18"/>
      <c r="G914" s="18"/>
      <c r="I914" s="19"/>
    </row>
    <row r="915">
      <c r="E915" s="18"/>
      <c r="F915" s="18"/>
      <c r="G915" s="18"/>
      <c r="I915" s="19"/>
    </row>
    <row r="916">
      <c r="E916" s="18"/>
      <c r="F916" s="18"/>
      <c r="G916" s="18"/>
      <c r="I916" s="19"/>
    </row>
    <row r="917">
      <c r="E917" s="18"/>
      <c r="F917" s="18"/>
      <c r="G917" s="18"/>
      <c r="I917" s="19"/>
    </row>
    <row r="918">
      <c r="E918" s="18"/>
      <c r="F918" s="18"/>
      <c r="G918" s="18"/>
      <c r="I918" s="19"/>
    </row>
    <row r="919">
      <c r="E919" s="18"/>
      <c r="F919" s="18"/>
      <c r="G919" s="18"/>
      <c r="I919" s="19"/>
    </row>
    <row r="920">
      <c r="E920" s="18"/>
      <c r="F920" s="18"/>
      <c r="G920" s="18"/>
      <c r="I920" s="19"/>
    </row>
    <row r="921">
      <c r="E921" s="18"/>
      <c r="F921" s="18"/>
      <c r="G921" s="18"/>
      <c r="I921" s="19"/>
    </row>
    <row r="922">
      <c r="E922" s="18"/>
      <c r="F922" s="18"/>
      <c r="G922" s="18"/>
      <c r="I922" s="19"/>
    </row>
    <row r="923">
      <c r="E923" s="18"/>
      <c r="F923" s="18"/>
      <c r="G923" s="18"/>
      <c r="I923" s="19"/>
    </row>
    <row r="924">
      <c r="E924" s="18"/>
      <c r="F924" s="18"/>
      <c r="G924" s="18"/>
      <c r="I924" s="19"/>
    </row>
    <row r="925">
      <c r="E925" s="18"/>
      <c r="F925" s="18"/>
      <c r="G925" s="18"/>
      <c r="I925" s="19"/>
    </row>
    <row r="926">
      <c r="E926" s="18"/>
      <c r="F926" s="18"/>
      <c r="G926" s="18"/>
      <c r="I926" s="19"/>
    </row>
    <row r="927">
      <c r="E927" s="18"/>
      <c r="F927" s="18"/>
      <c r="G927" s="18"/>
      <c r="I927" s="19"/>
    </row>
    <row r="928">
      <c r="E928" s="18"/>
      <c r="F928" s="18"/>
      <c r="G928" s="18"/>
      <c r="I928" s="19"/>
    </row>
    <row r="929">
      <c r="E929" s="18"/>
      <c r="F929" s="18"/>
      <c r="G929" s="18"/>
      <c r="I929" s="19"/>
    </row>
    <row r="930">
      <c r="E930" s="18"/>
      <c r="F930" s="18"/>
      <c r="G930" s="18"/>
      <c r="I930" s="19"/>
    </row>
    <row r="931">
      <c r="E931" s="18"/>
      <c r="F931" s="18"/>
      <c r="G931" s="18"/>
      <c r="I931" s="19"/>
    </row>
    <row r="932">
      <c r="E932" s="18"/>
      <c r="F932" s="18"/>
      <c r="G932" s="18"/>
      <c r="I932" s="19"/>
    </row>
    <row r="933">
      <c r="E933" s="18"/>
      <c r="F933" s="18"/>
      <c r="G933" s="18"/>
      <c r="I933" s="19"/>
    </row>
    <row r="934">
      <c r="E934" s="18"/>
      <c r="F934" s="18"/>
      <c r="G934" s="18"/>
      <c r="I934" s="19"/>
    </row>
    <row r="935">
      <c r="E935" s="18"/>
      <c r="F935" s="18"/>
      <c r="G935" s="18"/>
      <c r="I935" s="19"/>
    </row>
    <row r="936">
      <c r="E936" s="18"/>
      <c r="F936" s="18"/>
      <c r="G936" s="18"/>
      <c r="I936" s="19"/>
    </row>
    <row r="937">
      <c r="E937" s="18"/>
      <c r="F937" s="18"/>
      <c r="G937" s="18"/>
      <c r="I937" s="19"/>
    </row>
    <row r="938">
      <c r="E938" s="18"/>
      <c r="F938" s="18"/>
      <c r="G938" s="18"/>
      <c r="I938" s="19"/>
    </row>
    <row r="939">
      <c r="E939" s="18"/>
      <c r="F939" s="18"/>
      <c r="G939" s="18"/>
      <c r="I939" s="19"/>
    </row>
    <row r="940">
      <c r="E940" s="18"/>
      <c r="F940" s="18"/>
      <c r="G940" s="18"/>
      <c r="I940" s="19"/>
    </row>
    <row r="941">
      <c r="E941" s="18"/>
      <c r="F941" s="18"/>
      <c r="G941" s="18"/>
      <c r="I941" s="19"/>
    </row>
    <row r="942">
      <c r="E942" s="18"/>
      <c r="F942" s="18"/>
      <c r="G942" s="18"/>
      <c r="I942" s="19"/>
    </row>
    <row r="943">
      <c r="E943" s="18"/>
      <c r="F943" s="18"/>
      <c r="G943" s="18"/>
      <c r="I943" s="19"/>
    </row>
    <row r="944">
      <c r="E944" s="18"/>
      <c r="F944" s="18"/>
      <c r="G944" s="18"/>
      <c r="I944" s="19"/>
    </row>
    <row r="945">
      <c r="E945" s="18"/>
      <c r="F945" s="18"/>
      <c r="G945" s="18"/>
      <c r="I945" s="19"/>
    </row>
    <row r="946">
      <c r="E946" s="18"/>
      <c r="F946" s="18"/>
      <c r="G946" s="18"/>
      <c r="I946" s="19"/>
    </row>
    <row r="947">
      <c r="E947" s="18"/>
      <c r="F947" s="18"/>
      <c r="G947" s="18"/>
      <c r="I947" s="19"/>
    </row>
    <row r="948">
      <c r="E948" s="18"/>
      <c r="F948" s="18"/>
      <c r="G948" s="18"/>
      <c r="I948" s="19"/>
    </row>
    <row r="949">
      <c r="E949" s="18"/>
      <c r="F949" s="18"/>
      <c r="G949" s="18"/>
      <c r="I949" s="19"/>
    </row>
    <row r="950">
      <c r="E950" s="18"/>
      <c r="F950" s="18"/>
      <c r="G950" s="18"/>
      <c r="I950" s="19"/>
    </row>
    <row r="951">
      <c r="E951" s="18"/>
      <c r="F951" s="18"/>
      <c r="G951" s="18"/>
      <c r="I951" s="19"/>
    </row>
    <row r="952">
      <c r="E952" s="18"/>
      <c r="F952" s="18"/>
      <c r="G952" s="18"/>
      <c r="I952" s="19"/>
    </row>
    <row r="953">
      <c r="E953" s="18"/>
      <c r="F953" s="18"/>
      <c r="G953" s="18"/>
      <c r="I953" s="19"/>
    </row>
    <row r="954">
      <c r="E954" s="18"/>
      <c r="F954" s="18"/>
      <c r="G954" s="18"/>
      <c r="I954" s="19"/>
    </row>
    <row r="955">
      <c r="E955" s="18"/>
      <c r="F955" s="18"/>
      <c r="G955" s="18"/>
      <c r="I955" s="19"/>
    </row>
    <row r="956">
      <c r="E956" s="18"/>
      <c r="F956" s="18"/>
      <c r="G956" s="18"/>
      <c r="I956" s="19"/>
    </row>
    <row r="957">
      <c r="E957" s="18"/>
      <c r="F957" s="18"/>
      <c r="G957" s="18"/>
      <c r="I957" s="19"/>
    </row>
    <row r="958">
      <c r="E958" s="18"/>
      <c r="F958" s="18"/>
      <c r="G958" s="18"/>
      <c r="I958" s="19"/>
    </row>
    <row r="959">
      <c r="E959" s="18"/>
      <c r="F959" s="18"/>
      <c r="G959" s="18"/>
      <c r="I959" s="19"/>
    </row>
    <row r="960">
      <c r="E960" s="18"/>
      <c r="F960" s="18"/>
      <c r="G960" s="18"/>
      <c r="I960" s="19"/>
    </row>
    <row r="961">
      <c r="E961" s="18"/>
      <c r="F961" s="18"/>
      <c r="G961" s="18"/>
      <c r="I961" s="19"/>
    </row>
    <row r="962">
      <c r="E962" s="18"/>
      <c r="F962" s="18"/>
      <c r="G962" s="18"/>
      <c r="I962" s="19"/>
    </row>
    <row r="963">
      <c r="E963" s="18"/>
      <c r="F963" s="18"/>
      <c r="G963" s="18"/>
      <c r="I963" s="19"/>
    </row>
    <row r="964">
      <c r="E964" s="18"/>
      <c r="F964" s="18"/>
      <c r="G964" s="18"/>
      <c r="I964" s="19"/>
    </row>
    <row r="965">
      <c r="E965" s="18"/>
      <c r="F965" s="18"/>
      <c r="G965" s="18"/>
      <c r="I965" s="19"/>
    </row>
    <row r="966">
      <c r="E966" s="18"/>
      <c r="F966" s="18"/>
      <c r="G966" s="18"/>
      <c r="I966" s="19"/>
    </row>
    <row r="967">
      <c r="E967" s="18"/>
      <c r="F967" s="18"/>
      <c r="G967" s="18"/>
      <c r="I967" s="19"/>
    </row>
    <row r="968">
      <c r="E968" s="18"/>
      <c r="F968" s="18"/>
      <c r="G968" s="18"/>
      <c r="I968" s="19"/>
    </row>
    <row r="969">
      <c r="E969" s="18"/>
      <c r="F969" s="18"/>
      <c r="G969" s="18"/>
      <c r="I969" s="19"/>
    </row>
    <row r="970">
      <c r="E970" s="18"/>
      <c r="F970" s="18"/>
      <c r="G970" s="18"/>
      <c r="I970" s="19"/>
    </row>
    <row r="971">
      <c r="E971" s="18"/>
      <c r="F971" s="18"/>
      <c r="G971" s="18"/>
      <c r="I971" s="19"/>
    </row>
    <row r="972">
      <c r="E972" s="18"/>
      <c r="F972" s="18"/>
      <c r="G972" s="18"/>
      <c r="I972" s="19"/>
    </row>
    <row r="973">
      <c r="E973" s="18"/>
      <c r="F973" s="18"/>
      <c r="G973" s="18"/>
      <c r="I973" s="19"/>
    </row>
    <row r="974">
      <c r="E974" s="18"/>
      <c r="F974" s="18"/>
      <c r="G974" s="18"/>
      <c r="I974" s="19"/>
    </row>
    <row r="975">
      <c r="E975" s="18"/>
      <c r="F975" s="18"/>
      <c r="G975" s="18"/>
      <c r="I975" s="19"/>
    </row>
    <row r="976">
      <c r="E976" s="18"/>
      <c r="F976" s="18"/>
      <c r="G976" s="18"/>
      <c r="I976" s="19"/>
    </row>
    <row r="977">
      <c r="E977" s="18"/>
      <c r="F977" s="18"/>
      <c r="G977" s="18"/>
      <c r="I977" s="19"/>
    </row>
    <row r="978">
      <c r="E978" s="18"/>
      <c r="F978" s="18"/>
      <c r="G978" s="18"/>
      <c r="I978" s="19"/>
    </row>
    <row r="979">
      <c r="E979" s="18"/>
      <c r="F979" s="18"/>
      <c r="G979" s="18"/>
      <c r="I979" s="19"/>
    </row>
    <row r="980">
      <c r="E980" s="18"/>
      <c r="F980" s="18"/>
      <c r="G980" s="18"/>
      <c r="I980" s="19"/>
    </row>
    <row r="981">
      <c r="E981" s="18"/>
      <c r="F981" s="18"/>
      <c r="G981" s="18"/>
      <c r="I981" s="19"/>
    </row>
    <row r="982">
      <c r="E982" s="18"/>
      <c r="F982" s="18"/>
      <c r="G982" s="18"/>
      <c r="I982" s="19"/>
    </row>
    <row r="983">
      <c r="E983" s="18"/>
      <c r="F983" s="18"/>
      <c r="G983" s="18"/>
      <c r="I983" s="19"/>
    </row>
    <row r="984">
      <c r="E984" s="18"/>
      <c r="F984" s="18"/>
      <c r="G984" s="18"/>
      <c r="I984" s="19"/>
    </row>
    <row r="985">
      <c r="E985" s="18"/>
      <c r="F985" s="18"/>
      <c r="G985" s="18"/>
      <c r="I985" s="19"/>
    </row>
    <row r="986">
      <c r="E986" s="18"/>
      <c r="F986" s="18"/>
      <c r="G986" s="18"/>
      <c r="I986" s="19"/>
    </row>
    <row r="987">
      <c r="E987" s="18"/>
      <c r="F987" s="18"/>
      <c r="G987" s="18"/>
      <c r="I987" s="19"/>
    </row>
    <row r="988">
      <c r="E988" s="18"/>
      <c r="F988" s="18"/>
      <c r="G988" s="18"/>
      <c r="I988" s="19"/>
    </row>
    <row r="989">
      <c r="E989" s="18"/>
      <c r="F989" s="18"/>
      <c r="G989" s="18"/>
      <c r="I989" s="19"/>
    </row>
    <row r="990">
      <c r="E990" s="18"/>
      <c r="F990" s="18"/>
      <c r="G990" s="18"/>
      <c r="I990" s="19"/>
    </row>
    <row r="991">
      <c r="E991" s="18"/>
      <c r="F991" s="18"/>
      <c r="G991" s="18"/>
      <c r="I991" s="19"/>
    </row>
    <row r="992">
      <c r="E992" s="18"/>
      <c r="F992" s="18"/>
      <c r="G992" s="18"/>
      <c r="I992" s="19"/>
    </row>
    <row r="993">
      <c r="E993" s="18"/>
      <c r="F993" s="18"/>
      <c r="G993" s="18"/>
      <c r="I993" s="19"/>
    </row>
    <row r="994">
      <c r="E994" s="18"/>
      <c r="F994" s="18"/>
      <c r="G994" s="18"/>
      <c r="I994" s="19"/>
    </row>
    <row r="995">
      <c r="E995" s="18"/>
      <c r="F995" s="18"/>
      <c r="G995" s="18"/>
      <c r="I995" s="19"/>
    </row>
    <row r="996">
      <c r="E996" s="18"/>
      <c r="F996" s="18"/>
      <c r="G996" s="18"/>
      <c r="I996" s="19"/>
    </row>
    <row r="997">
      <c r="E997" s="18"/>
      <c r="F997" s="18"/>
      <c r="G997" s="18"/>
      <c r="I997" s="19"/>
    </row>
    <row r="998">
      <c r="E998" s="18"/>
      <c r="F998" s="18"/>
      <c r="G998" s="18"/>
      <c r="I998" s="19"/>
    </row>
    <row r="999">
      <c r="E999" s="18"/>
      <c r="F999" s="18"/>
      <c r="G999" s="18"/>
      <c r="I999" s="19"/>
    </row>
    <row r="1000">
      <c r="E1000" s="18"/>
      <c r="F1000" s="18"/>
      <c r="G1000" s="18"/>
      <c r="I1000" s="19"/>
    </row>
  </sheetData>
  <conditionalFormatting sqref="H1:H1000">
    <cfRule type="containsText" dxfId="0" priority="1" operator="containsText" text="Bull">
      <formula>NOT(ISERROR(SEARCH(("Bull"),(H1))))</formula>
    </cfRule>
  </conditionalFormatting>
  <conditionalFormatting sqref="H1:H1000">
    <cfRule type="containsText" dxfId="1" priority="2" operator="containsText" text="Bear">
      <formula>NOT(ISERROR(SEARCH(("Bear"),(H1))))</formula>
    </cfRule>
  </conditionalFormatting>
  <conditionalFormatting sqref="J1:J1000">
    <cfRule type="containsText" dxfId="0" priority="3" operator="containsText" text="BUY">
      <formula>NOT(ISERROR(SEARCH(("BUY"),(J1))))</formula>
    </cfRule>
  </conditionalFormatting>
  <conditionalFormatting sqref="J1:J1000">
    <cfRule type="containsText" dxfId="2" priority="4" operator="containsText" text="Avoid">
      <formula>NOT(ISERROR(SEARCH(("Avoid"),(J1))))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0"/>
    <col customWidth="1" min="3" max="3" width="18.75"/>
    <col customWidth="1" min="4" max="4" width="15.63"/>
    <col customWidth="1" min="5" max="5" width="21.63"/>
    <col customWidth="1" min="6" max="6" width="21.5"/>
  </cols>
  <sheetData>
    <row r="1">
      <c r="A1" s="3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 t="s">
        <v>0</v>
      </c>
      <c r="B2" s="10" t="s">
        <v>2</v>
      </c>
      <c r="C2" s="10" t="s">
        <v>12</v>
      </c>
      <c r="D2" s="10" t="s">
        <v>4</v>
      </c>
      <c r="E2" s="11" t="s">
        <v>9</v>
      </c>
      <c r="F2" s="10" t="s">
        <v>10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tr">
        <f>IFERROR(__xludf.DUMMYFUNCTION("IFERROR(SORT(FILTER({'Top 250 Stocks'!A:D, 'Top 250 Stocks'!I:J}, 'Top 250 Stocks'!H:H=""In Bull Run"", 
'Top 250 Stocks'!J:J=""Buy/Average Out""), 2, FALSE), ""कोई स्टॉक नहीं मिला"")"),"ASHOKLEY")</f>
        <v>ASHOKLEY</v>
      </c>
      <c r="B3" s="5">
        <f>IFERROR(__xludf.DUMMYFUNCTION("""COMPUTED_VALUE"""),6.84765767388E9)</f>
        <v>6847657674</v>
      </c>
      <c r="C3" s="5">
        <f>IFERROR(__xludf.DUMMYFUNCTION("""COMPUTED_VALUE"""),171.64)</f>
        <v>171.64</v>
      </c>
      <c r="D3" s="5">
        <f>IFERROR(__xludf.DUMMYFUNCTION("""COMPUTED_VALUE"""),172.6)</f>
        <v>172.6</v>
      </c>
      <c r="E3" s="14">
        <f>IFERROR(__xludf.DUMMYFUNCTION("""COMPUTED_VALUE"""),2.496678953203737)</f>
        <v>2.496678953</v>
      </c>
      <c r="F3" s="5" t="str">
        <f>IFERROR(__xludf.DUMMYFUNCTION("""COMPUTED_VALUE"""),"Buy/Average Out")</f>
        <v>Buy/Average Out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tr">
        <f>IFERROR(__xludf.DUMMYFUNCTION("""COMPUTED_VALUE"""),"SBIN")</f>
        <v>SBIN</v>
      </c>
      <c r="B4" s="5">
        <f>IFERROR(__xludf.DUMMYFUNCTION("""COMPUTED_VALUE"""),6.7102668281E9)</f>
        <v>6710266828</v>
      </c>
      <c r="C4" s="5">
        <f>IFERROR(__xludf.DUMMYFUNCTION("""COMPUTED_VALUE"""),1067.7)</f>
        <v>1067.7</v>
      </c>
      <c r="D4" s="5">
        <f>IFERROR(__xludf.DUMMYFUNCTION("""COMPUTED_VALUE"""),1065.5)</f>
        <v>1065.5</v>
      </c>
      <c r="E4" s="14">
        <f>IFERROR(__xludf.DUMMYFUNCTION("""COMPUTED_VALUE"""),3.2643103569839163)</f>
        <v>3.264310357</v>
      </c>
      <c r="F4" s="5" t="str">
        <f>IFERROR(__xludf.DUMMYFUNCTION("""COMPUTED_VALUE"""),"Buy/Average Out")</f>
        <v>Buy/Average Out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tr">
        <f>IFERROR(__xludf.DUMMYFUNCTION("""COMPUTED_VALUE"""),"TECHM")</f>
        <v>TECHM</v>
      </c>
      <c r="B5" s="5">
        <f>IFERROR(__xludf.DUMMYFUNCTION("""COMPUTED_VALUE"""),5.5153167518E9)</f>
        <v>5515316752</v>
      </c>
      <c r="C5" s="5">
        <f>IFERROR(__xludf.DUMMYFUNCTION("""COMPUTED_VALUE"""),1632.8)</f>
        <v>1632.8</v>
      </c>
      <c r="D5" s="5">
        <f>IFERROR(__xludf.DUMMYFUNCTION("""COMPUTED_VALUE"""),1632.8)</f>
        <v>1632.8</v>
      </c>
      <c r="E5" s="14">
        <f>IFERROR(__xludf.DUMMYFUNCTION("""COMPUTED_VALUE"""),8.660967201065057)</f>
        <v>8.660967201</v>
      </c>
      <c r="F5" s="5" t="str">
        <f>IFERROR(__xludf.DUMMYFUNCTION("""COMPUTED_VALUE"""),"Buy/Average Out")</f>
        <v>Buy/Average Out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tr">
        <f>IFERROR(__xludf.DUMMYFUNCTION("""COMPUTED_VALUE"""),"LT")</f>
        <v>LT</v>
      </c>
      <c r="B6" s="5">
        <f>IFERROR(__xludf.DUMMYFUNCTION("""COMPUTED_VALUE"""),3.7858711842E9)</f>
        <v>3785871184</v>
      </c>
      <c r="C6" s="5">
        <f>IFERROR(__xludf.DUMMYFUNCTION("""COMPUTED_VALUE"""),4057.0)</f>
        <v>4057</v>
      </c>
      <c r="D6" s="5">
        <f>IFERROR(__xludf.DUMMYFUNCTION("""COMPUTED_VALUE"""),4057.0)</f>
        <v>4057</v>
      </c>
      <c r="E6" s="14">
        <f>IFERROR(__xludf.DUMMYFUNCTION("""COMPUTED_VALUE"""),1.9987301070106458)</f>
        <v>1.998730107</v>
      </c>
      <c r="F6" s="5" t="str">
        <f>IFERROR(__xludf.DUMMYFUNCTION("""COMPUTED_VALUE"""),"Buy/Average Out")</f>
        <v>Buy/Average Out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tr">
        <f>IFERROR(__xludf.DUMMYFUNCTION("""COMPUTED_VALUE"""),"HINDALCO")</f>
        <v>HINDALCO</v>
      </c>
      <c r="B7" s="5">
        <f>IFERROR(__xludf.DUMMYFUNCTION("""COMPUTED_VALUE"""),3.526080736E9)</f>
        <v>3526080736</v>
      </c>
      <c r="C7" s="5">
        <f>IFERROR(__xludf.DUMMYFUNCTION("""COMPUTED_VALUE"""),1029.5)</f>
        <v>1029.5</v>
      </c>
      <c r="D7" s="5">
        <f>IFERROR(__xludf.DUMMYFUNCTION("""COMPUTED_VALUE"""),1036.0)</f>
        <v>1036</v>
      </c>
      <c r="E7" s="14">
        <f>IFERROR(__xludf.DUMMYFUNCTION("""COMPUTED_VALUE"""),9.494644168828868)</f>
        <v>9.494644169</v>
      </c>
      <c r="F7" s="5" t="str">
        <f>IFERROR(__xludf.DUMMYFUNCTION("""COMPUTED_VALUE"""),"Buy/Average Out")</f>
        <v>Buy/Average Out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tr">
        <f>IFERROR(__xludf.DUMMYFUNCTION("""COMPUTED_VALUE"""),"M&amp;M")</f>
        <v>M&amp;M</v>
      </c>
      <c r="B8" s="5">
        <f>IFERROR(__xludf.DUMMYFUNCTION("""COMPUTED_VALUE"""),3.5230615367E9)</f>
        <v>3523061537</v>
      </c>
      <c r="C8" s="5">
        <f>IFERROR(__xludf.DUMMYFUNCTION("""COMPUTED_VALUE"""),3428.3)</f>
        <v>3428.3</v>
      </c>
      <c r="D8" s="5">
        <f>IFERROR(__xludf.DUMMYFUNCTION("""COMPUTED_VALUE"""),3422.4)</f>
        <v>3422.4</v>
      </c>
      <c r="E8" s="14">
        <f>IFERROR(__xludf.DUMMYFUNCTION("""COMPUTED_VALUE"""),1.8160679523484722)</f>
        <v>1.816067952</v>
      </c>
      <c r="F8" s="5" t="str">
        <f>IFERROR(__xludf.DUMMYFUNCTION("""COMPUTED_VALUE"""),"Buy/Average Out")</f>
        <v>Buy/Average Out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tr">
        <f>IFERROR(__xludf.DUMMYFUNCTION("""COMPUTED_VALUE"""),"PERSISTENT")</f>
        <v>PERSISTENT</v>
      </c>
      <c r="B9" s="5">
        <f>IFERROR(__xludf.DUMMYFUNCTION("""COMPUTED_VALUE"""),3.5174988765E9)</f>
        <v>3517498877</v>
      </c>
      <c r="C9" s="5">
        <f>IFERROR(__xludf.DUMMYFUNCTION("""COMPUTED_VALUE"""),5580.0)</f>
        <v>5580</v>
      </c>
      <c r="D9" s="5">
        <f>IFERROR(__xludf.DUMMYFUNCTION("""COMPUTED_VALUE"""),5576.0)</f>
        <v>5576</v>
      </c>
      <c r="E9" s="14">
        <f>IFERROR(__xludf.DUMMYFUNCTION("""COMPUTED_VALUE"""),1.7559934709004095)</f>
        <v>1.755993471</v>
      </c>
      <c r="F9" s="5" t="str">
        <f>IFERROR(__xludf.DUMMYFUNCTION("""COMPUTED_VALUE"""),"Buy/Average Out")</f>
        <v>Buy/Average Out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tr">
        <f>IFERROR(__xludf.DUMMYFUNCTION("""COMPUTED_VALUE"""),"HEROMOTOCO")</f>
        <v>HEROMOTOCO</v>
      </c>
      <c r="B10" s="5">
        <f>IFERROR(__xludf.DUMMYFUNCTION("""COMPUTED_VALUE"""),2.950610339E9)</f>
        <v>2950610339</v>
      </c>
      <c r="C10" s="5">
        <f>IFERROR(__xludf.DUMMYFUNCTION("""COMPUTED_VALUE"""),5790.0)</f>
        <v>5790</v>
      </c>
      <c r="D10" s="5">
        <f>IFERROR(__xludf.DUMMYFUNCTION("""COMPUTED_VALUE"""),5775.0)</f>
        <v>5775</v>
      </c>
      <c r="E10" s="14">
        <f>IFERROR(__xludf.DUMMYFUNCTION("""COMPUTED_VALUE"""),6.739050837545743)</f>
        <v>6.739050838</v>
      </c>
      <c r="F10" s="5" t="str">
        <f>IFERROR(__xludf.DUMMYFUNCTION("""COMPUTED_VALUE"""),"Buy/Average Out")</f>
        <v>Buy/Average Out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tr">
        <f>IFERROR(__xludf.DUMMYFUNCTION("""COMPUTED_VALUE"""),"BAJAJFINSV")</f>
        <v>BAJAJFINSV</v>
      </c>
      <c r="B11" s="5">
        <f>IFERROR(__xludf.DUMMYFUNCTION("""COMPUTED_VALUE"""),1.9341160933E9)</f>
        <v>1934116093</v>
      </c>
      <c r="C11" s="5">
        <f>IFERROR(__xludf.DUMMYFUNCTION("""COMPUTED_VALUE"""),2008.3)</f>
        <v>2008.3</v>
      </c>
      <c r="D11" s="5">
        <f>IFERROR(__xludf.DUMMYFUNCTION("""COMPUTED_VALUE"""),2006.6)</f>
        <v>2006.6</v>
      </c>
      <c r="E11" s="14">
        <f>IFERROR(__xludf.DUMMYFUNCTION("""COMPUTED_VALUE"""),4.733630216064643)</f>
        <v>4.733630216</v>
      </c>
      <c r="F11" s="5" t="str">
        <f>IFERROR(__xludf.DUMMYFUNCTION("""COMPUTED_VALUE"""),"Buy/Average Out")</f>
        <v>Buy/Average Out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tr">
        <f>IFERROR(__xludf.DUMMYFUNCTION("""COMPUTED_VALUE"""),"KRBL")</f>
        <v>KRBL</v>
      </c>
      <c r="B12" s="5">
        <f>IFERROR(__xludf.DUMMYFUNCTION("""COMPUTED_VALUE"""),1.6232766441E9)</f>
        <v>1623276644</v>
      </c>
      <c r="C12" s="5">
        <f>IFERROR(__xludf.DUMMYFUNCTION("""COMPUTED_VALUE"""),386.4)</f>
        <v>386.4</v>
      </c>
      <c r="D12" s="5">
        <f>IFERROR(__xludf.DUMMYFUNCTION("""COMPUTED_VALUE"""),385.8)</f>
        <v>385.8</v>
      </c>
      <c r="E12" s="14">
        <f>IFERROR(__xludf.DUMMYFUNCTION("""COMPUTED_VALUE"""),6.5806948878975895)</f>
        <v>6.580694888</v>
      </c>
      <c r="F12" s="5" t="str">
        <f>IFERROR(__xludf.DUMMYFUNCTION("""COMPUTED_VALUE"""),"Buy/Average Out")</f>
        <v>Buy/Average Out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tr">
        <f>IFERROR(__xludf.DUMMYFUNCTION("""COMPUTED_VALUE"""),"CONCOR")</f>
        <v>CONCOR</v>
      </c>
      <c r="B13" s="5">
        <f>IFERROR(__xludf.DUMMYFUNCTION("""COMPUTED_VALUE"""),1.4145435266E9)</f>
        <v>1414543527</v>
      </c>
      <c r="C13" s="5">
        <f>IFERROR(__xludf.DUMMYFUNCTION("""COMPUTED_VALUE"""),527.0)</f>
        <v>527</v>
      </c>
      <c r="D13" s="5">
        <f>IFERROR(__xludf.DUMMYFUNCTION("""COMPUTED_VALUE"""),529.2)</f>
        <v>529.2</v>
      </c>
      <c r="E13" s="14">
        <f>IFERROR(__xludf.DUMMYFUNCTION("""COMPUTED_VALUE"""),6.402764219959336)</f>
        <v>6.40276422</v>
      </c>
      <c r="F13" s="5" t="str">
        <f>IFERROR(__xludf.DUMMYFUNCTION("""COMPUTED_VALUE"""),"Buy/Average Out")</f>
        <v>Buy/Average Out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 t="str">
        <f>IFERROR(__xludf.DUMMYFUNCTION("""COMPUTED_VALUE"""),"HYUNDAI")</f>
        <v>HYUNDAI</v>
      </c>
      <c r="B14" s="5">
        <f>IFERROR(__xludf.DUMMYFUNCTION("""COMPUTED_VALUE"""),1.3955106846E9)</f>
        <v>1395510685</v>
      </c>
      <c r="C14" s="5">
        <f>IFERROR(__xludf.DUMMYFUNCTION("""COMPUTED_VALUE"""),2199.0)</f>
        <v>2199</v>
      </c>
      <c r="D14" s="5">
        <f>IFERROR(__xludf.DUMMYFUNCTION("""COMPUTED_VALUE"""),2198.0)</f>
        <v>2198</v>
      </c>
      <c r="E14" s="14">
        <f>IFERROR(__xludf.DUMMYFUNCTION("""COMPUTED_VALUE"""),4.924681454777332)</f>
        <v>4.924681455</v>
      </c>
      <c r="F14" s="5" t="str">
        <f>IFERROR(__xludf.DUMMYFUNCTION("""COMPUTED_VALUE"""),"Buy/Average Out")</f>
        <v>Buy/Average Out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 t="str">
        <f>IFERROR(__xludf.DUMMYFUNCTION("""COMPUTED_VALUE"""),"PNB")</f>
        <v>PNB</v>
      </c>
      <c r="B15" s="5">
        <f>IFERROR(__xludf.DUMMYFUNCTION("""COMPUTED_VALUE"""),1.32889736428E9)</f>
        <v>1328897364</v>
      </c>
      <c r="C15" s="5">
        <f>IFERROR(__xludf.DUMMYFUNCTION("""COMPUTED_VALUE"""),118.0)</f>
        <v>118</v>
      </c>
      <c r="D15" s="5">
        <f>IFERROR(__xludf.DUMMYFUNCTION("""COMPUTED_VALUE"""),117.54)</f>
        <v>117.54</v>
      </c>
      <c r="E15" s="14">
        <f>IFERROR(__xludf.DUMMYFUNCTION("""COMPUTED_VALUE"""),1.90095476877216)</f>
        <v>1.900954769</v>
      </c>
      <c r="F15" s="5" t="str">
        <f>IFERROR(__xludf.DUMMYFUNCTION("""COMPUTED_VALUE"""),"Buy/Average Out")</f>
        <v>Buy/Average Out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 t="str">
        <f>IFERROR(__xludf.DUMMYFUNCTION("""COMPUTED_VALUE"""),"PETRONET")</f>
        <v>PETRONET</v>
      </c>
      <c r="B16" s="5">
        <f>IFERROR(__xludf.DUMMYFUNCTION("""COMPUTED_VALUE"""),1.3155896371E9)</f>
        <v>1315589637</v>
      </c>
      <c r="C16" s="5">
        <f>IFERROR(__xludf.DUMMYFUNCTION("""COMPUTED_VALUE"""),282.6)</f>
        <v>282.6</v>
      </c>
      <c r="D16" s="5">
        <f>IFERROR(__xludf.DUMMYFUNCTION("""COMPUTED_VALUE"""),282.4)</f>
        <v>282.4</v>
      </c>
      <c r="E16" s="14">
        <f>IFERROR(__xludf.DUMMYFUNCTION("""COMPUTED_VALUE"""),1.135246725773216)</f>
        <v>1.135246726</v>
      </c>
      <c r="F16" s="5" t="str">
        <f>IFERROR(__xludf.DUMMYFUNCTION("""COMPUTED_VALUE"""),"Buy/Average Out")</f>
        <v>Buy/Average Out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 t="str">
        <f>IFERROR(__xludf.DUMMYFUNCTION("""COMPUTED_VALUE"""),"MEESHO")</f>
        <v>MEESHO</v>
      </c>
      <c r="B17" s="5">
        <f>IFERROR(__xludf.DUMMYFUNCTION("""COMPUTED_VALUE"""),1.31308341371E9)</f>
        <v>1313083414</v>
      </c>
      <c r="C17" s="5">
        <f>IFERROR(__xludf.DUMMYFUNCTION("""COMPUTED_VALUE"""),191.16)</f>
        <v>191.16</v>
      </c>
      <c r="D17" s="5">
        <f>IFERROR(__xludf.DUMMYFUNCTION("""COMPUTED_VALUE"""),191.2)</f>
        <v>191.2</v>
      </c>
      <c r="E17" s="14">
        <f>IFERROR(__xludf.DUMMYFUNCTION("""COMPUTED_VALUE"""),9.883355788075342)</f>
        <v>9.883355788</v>
      </c>
      <c r="F17" s="5" t="str">
        <f>IFERROR(__xludf.DUMMYFUNCTION("""COMPUTED_VALUE"""),"Buy/Average Out")</f>
        <v>Buy/Average Out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 t="str">
        <f>IFERROR(__xludf.DUMMYFUNCTION("""COMPUTED_VALUE"""),"CIPLA")</f>
        <v>CIPLA</v>
      </c>
      <c r="B18" s="5">
        <f>IFERROR(__xludf.DUMMYFUNCTION("""COMPUTED_VALUE"""),1.1457738898E9)</f>
        <v>1145773890</v>
      </c>
      <c r="C18" s="5">
        <f>IFERROR(__xludf.DUMMYFUNCTION("""COMPUTED_VALUE"""),1450.0)</f>
        <v>1450</v>
      </c>
      <c r="D18" s="5">
        <f>IFERROR(__xludf.DUMMYFUNCTION("""COMPUTED_VALUE"""),1450.0)</f>
        <v>1450</v>
      </c>
      <c r="E18" s="14">
        <f>IFERROR(__xludf.DUMMYFUNCTION("""COMPUTED_VALUE"""),3.31759936926394)</f>
        <v>3.317599369</v>
      </c>
      <c r="F18" s="5" t="str">
        <f>IFERROR(__xludf.DUMMYFUNCTION("""COMPUTED_VALUE"""),"Buy/Average Out")</f>
        <v>Buy/Average Out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tr">
        <f>IFERROR(__xludf.DUMMYFUNCTION("""COMPUTED_VALUE"""),"INDIGO")</f>
        <v>INDIGO</v>
      </c>
      <c r="B19" s="5">
        <f>IFERROR(__xludf.DUMMYFUNCTION("""COMPUTED_VALUE"""),9.840017155E8)</f>
        <v>984001715.5</v>
      </c>
      <c r="C19" s="5">
        <f>IFERROR(__xludf.DUMMYFUNCTION("""COMPUTED_VALUE"""),5310.0)</f>
        <v>5310</v>
      </c>
      <c r="D19" s="5">
        <f>IFERROR(__xludf.DUMMYFUNCTION("""COMPUTED_VALUE"""),5315.0)</f>
        <v>5315</v>
      </c>
      <c r="E19" s="14">
        <f>IFERROR(__xludf.DUMMYFUNCTION("""COMPUTED_VALUE"""),7.669851216066659)</f>
        <v>7.669851216</v>
      </c>
      <c r="F19" s="5" t="str">
        <f>IFERROR(__xludf.DUMMYFUNCTION("""COMPUTED_VALUE"""),"Buy/Average Out")</f>
        <v>Buy/Average Out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 t="str">
        <f>IFERROR(__xludf.DUMMYFUNCTION("""COMPUTED_VALUE"""),"GODREJPROP")</f>
        <v>GODREJPROP</v>
      </c>
      <c r="B20" s="5">
        <f>IFERROR(__xludf.DUMMYFUNCTION("""COMPUTED_VALUE"""),8.950869609E8)</f>
        <v>895086960.9</v>
      </c>
      <c r="C20" s="5">
        <f>IFERROR(__xludf.DUMMYFUNCTION("""COMPUTED_VALUE"""),1990.0)</f>
        <v>1990</v>
      </c>
      <c r="D20" s="5">
        <f>IFERROR(__xludf.DUMMYFUNCTION("""COMPUTED_VALUE"""),1994.0)</f>
        <v>1994</v>
      </c>
      <c r="E20" s="14">
        <f>IFERROR(__xludf.DUMMYFUNCTION("""COMPUTED_VALUE"""),5.54301989597081)</f>
        <v>5.543019896</v>
      </c>
      <c r="F20" s="5" t="str">
        <f>IFERROR(__xludf.DUMMYFUNCTION("""COMPUTED_VALUE"""),"Buy/Average Out")</f>
        <v>Buy/Average Out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1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1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1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1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1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1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1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1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1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1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1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1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1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1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1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1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1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1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1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1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1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1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1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1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1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1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1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1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1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1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1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1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1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1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1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1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1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1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1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1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1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1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1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1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1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1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1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1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1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1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1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1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1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1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1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1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1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1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1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1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1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1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1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1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1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1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1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1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1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1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1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1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1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1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1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1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1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1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1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1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1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1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1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1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1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1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1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1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1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1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1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1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1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1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1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1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1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1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1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1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1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1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1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1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1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1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1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1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1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1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1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1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1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1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1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1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1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1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1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1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1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1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1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1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1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1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1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1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1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1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1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1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1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1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1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1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1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1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1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1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1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1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1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1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1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1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1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1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1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1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1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1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1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1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1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1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1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1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1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1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1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1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1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1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1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1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1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1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1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1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1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1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1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1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1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1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1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1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1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1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1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1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1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1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1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1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1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1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1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1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1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1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1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1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1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1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1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1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1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1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1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1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1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1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1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1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1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1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1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1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1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1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1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1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1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1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1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1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1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1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1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1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1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1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1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1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1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1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1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1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1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1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1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1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1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1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1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1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1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1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1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1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1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1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1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1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1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1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1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1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1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1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1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1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1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1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1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1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1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1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1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1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1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1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1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1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1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1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1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1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1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1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1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1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1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1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1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1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1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1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1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1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1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1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1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1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1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1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1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1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1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1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1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1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1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1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1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1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1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1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1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1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1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1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1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1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1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1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1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1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1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1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1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1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1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1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1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1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1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1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1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1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1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1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1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1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1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1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1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1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1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1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1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1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1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1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1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1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1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1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1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1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1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1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1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1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1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1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1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1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1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1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1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1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1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1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1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1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1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1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1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1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1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1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1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1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1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1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1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1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1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1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1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1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1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1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1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1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1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1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1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1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1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1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1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1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1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1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1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1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1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1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1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1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1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1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1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1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1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1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1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1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1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1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1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1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1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1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1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1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1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1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1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1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1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1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1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1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1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1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1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1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1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1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1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1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1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1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1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1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1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1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1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1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1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1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1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1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1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1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1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1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1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1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1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1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1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1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1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1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1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1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1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1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1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1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1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1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1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1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1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1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1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1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1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1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1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1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1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1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1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1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1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1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1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1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1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1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1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1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1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1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1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1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1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1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1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1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1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1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1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1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1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1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1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1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1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1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1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1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1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1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1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1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1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1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1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1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1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1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1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1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1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1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1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1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1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1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1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1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1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1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1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1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1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1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1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1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1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1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1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1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1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1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1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1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1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1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1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1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1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1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1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1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1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1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1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1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1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1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1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1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1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1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1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1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1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1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1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1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1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1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1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1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1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1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1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1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1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1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1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1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1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1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1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1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1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1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1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1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1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1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1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1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1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1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1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1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1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1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1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1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1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1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1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1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1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1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1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1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1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1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1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1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1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1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1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1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1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1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1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1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1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1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1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1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1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1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1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1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1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1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1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1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1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1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1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1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1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1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1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1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1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1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1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1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1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1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1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1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1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1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1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1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1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1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1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1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1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1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1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1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1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1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1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1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1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1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1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1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1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1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1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1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1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1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1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1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1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1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1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1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1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1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1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1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1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1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1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1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1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1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1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1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1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1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1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1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1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1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1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1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1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1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1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1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1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1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1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1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1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1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1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1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1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1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1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1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1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1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1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1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1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1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1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1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1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1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1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1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1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1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1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1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1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1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1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1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1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1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1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1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1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1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1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1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1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1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1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1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1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1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1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1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1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1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1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1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1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1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1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1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1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1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1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1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1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1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1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1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1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1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1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1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1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1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1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1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1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1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1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1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1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1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1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1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1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1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1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1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1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1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1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1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1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1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1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1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1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1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1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1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1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1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1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1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1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1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1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1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1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1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1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1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1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1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1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1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1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1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1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1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1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1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1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1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1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1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1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1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1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1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1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1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1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1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1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1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1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1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1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1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1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1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1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1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1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1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1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1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1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1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1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1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1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1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1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1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1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1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1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1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1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1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1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1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1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1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1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1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1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1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1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1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1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1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1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1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1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1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1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1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1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1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1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1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1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1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1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1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1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1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1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1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1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1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1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1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1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1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1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1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1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1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1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1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1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1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1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1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1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1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1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1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1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1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1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1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1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1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1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1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1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1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1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1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1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1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1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1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1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1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1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1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1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1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1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1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1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1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1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1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1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1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1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1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1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1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1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1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1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1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1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1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1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1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1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1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1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1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1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1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1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1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1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1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1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1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1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1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1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1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1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1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1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1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1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1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1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1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1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1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1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1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1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F1"/>
  </mergeCells>
  <conditionalFormatting sqref="F1:F1000">
    <cfRule type="containsText" dxfId="0" priority="1" operator="containsText" text="Buy">
      <formula>NOT(ISERROR(SEARCH(("Buy"),(F1))))</formula>
    </cfRule>
  </conditionalFormatting>
  <drawing r:id="rId1"/>
</worksheet>
</file>